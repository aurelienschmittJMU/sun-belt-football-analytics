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urel\Documents\Avenir\Projet CV\"/>
    </mc:Choice>
  </mc:AlternateContent>
  <xr:revisionPtr revIDLastSave="0" documentId="13_ncr:1_{BCE1E7AC-B27C-4C5F-BFEA-B9509E8A9D60}" xr6:coauthVersionLast="47" xr6:coauthVersionMax="47" xr10:uidLastSave="{00000000-0000-0000-0000-000000000000}"/>
  <bookViews>
    <workbookView xWindow="-110" yWindow="-110" windowWidth="19420" windowHeight="10300" xr2:uid="{686D2811-3B9F-42EA-BECA-19C4E2B7B52F}"/>
  </bookViews>
  <sheets>
    <sheet name="Data" sheetId="4" r:id="rId1"/>
    <sheet name="analysis" sheetId="5" r:id="rId2"/>
    <sheet name="dashboard" sheetId="7" r:id="rId3"/>
    <sheet name="Methodology &amp; Sources" sheetId="6" r:id="rId4"/>
    <sheet name="Raw Data" sheetId="8" r:id="rId5"/>
  </sheets>
  <definedNames>
    <definedName name="_xlnm.Print_Area" localSheetId="2">dashboard!$A$1:$AH$80</definedName>
    <definedName name="_xlnm.Print_Area" localSheetId="3">'Methodology &amp; Sources'!$A$1:$D$60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3" i="4" l="1"/>
  <c r="J3" i="4"/>
  <c r="K3" i="4"/>
  <c r="BH21" i="7" s="1"/>
  <c r="L3" i="4"/>
  <c r="M3" i="4"/>
  <c r="BH42" i="7" s="1"/>
  <c r="I4" i="4"/>
  <c r="J4" i="4"/>
  <c r="K4" i="4"/>
  <c r="L4" i="4"/>
  <c r="M4" i="4"/>
  <c r="I5" i="4"/>
  <c r="J5" i="4"/>
  <c r="K5" i="4"/>
  <c r="BH20" i="7" s="1"/>
  <c r="L5" i="4"/>
  <c r="M5" i="4"/>
  <c r="I6" i="4"/>
  <c r="J6" i="4"/>
  <c r="K6" i="4"/>
  <c r="L6" i="4"/>
  <c r="M6" i="4"/>
  <c r="BH37" i="7" s="1"/>
  <c r="I7" i="4"/>
  <c r="G3" i="5" s="1"/>
  <c r="J7" i="4"/>
  <c r="F4" i="5" s="1"/>
  <c r="K7" i="4"/>
  <c r="L7" i="4"/>
  <c r="M7" i="4"/>
  <c r="I8" i="4"/>
  <c r="J8" i="4"/>
  <c r="K8" i="4"/>
  <c r="L8" i="4"/>
  <c r="M8" i="4"/>
  <c r="BH36" i="7" s="1"/>
  <c r="I9" i="4"/>
  <c r="J9" i="4"/>
  <c r="K9" i="4"/>
  <c r="L9" i="4"/>
  <c r="M9" i="4"/>
  <c r="BH41" i="7" s="1"/>
  <c r="I10" i="4"/>
  <c r="J10" i="4"/>
  <c r="K10" i="4"/>
  <c r="BH27" i="7" s="1"/>
  <c r="L10" i="4"/>
  <c r="M10" i="4"/>
  <c r="I11" i="4"/>
  <c r="J11" i="4"/>
  <c r="K11" i="4"/>
  <c r="BH17" i="7" s="1"/>
  <c r="L11" i="4"/>
  <c r="M11" i="4"/>
  <c r="BH32" i="7" s="1"/>
  <c r="I12" i="4"/>
  <c r="J12" i="4"/>
  <c r="K12" i="4"/>
  <c r="L12" i="4"/>
  <c r="M12" i="4"/>
  <c r="I13" i="4"/>
  <c r="J13" i="4"/>
  <c r="K13" i="4"/>
  <c r="BH25" i="7" s="1"/>
  <c r="L13" i="4"/>
  <c r="M13" i="4"/>
  <c r="I14" i="4"/>
  <c r="J14" i="4"/>
  <c r="K14" i="4"/>
  <c r="L14" i="4"/>
  <c r="M14" i="4"/>
  <c r="BH33" i="7" s="1"/>
  <c r="I15" i="4"/>
  <c r="J15" i="4"/>
  <c r="K15" i="4"/>
  <c r="L15" i="4"/>
  <c r="M15" i="4"/>
  <c r="BG6" i="7"/>
  <c r="BH29" i="7"/>
  <c r="BH24" i="7"/>
  <c r="BH35" i="7"/>
  <c r="BH30" i="7"/>
  <c r="BH39" i="7"/>
  <c r="BH34" i="7"/>
  <c r="BH19" i="7"/>
  <c r="BG23" i="7"/>
  <c r="BG30" i="7"/>
  <c r="BG29" i="7"/>
  <c r="BG28" i="7"/>
  <c r="BG27" i="7"/>
  <c r="BG26" i="7"/>
  <c r="BG25" i="7"/>
  <c r="BG24" i="7"/>
  <c r="BG22" i="7"/>
  <c r="BG21" i="7"/>
  <c r="BG20" i="7"/>
  <c r="BG19" i="7"/>
  <c r="BG18" i="7"/>
  <c r="BG17" i="7"/>
  <c r="BG15" i="7"/>
  <c r="BG13" i="7"/>
  <c r="BG14" i="7"/>
  <c r="BG12" i="7"/>
  <c r="BG11" i="7"/>
  <c r="BG10" i="7"/>
  <c r="BG8" i="7"/>
  <c r="BG9" i="7"/>
  <c r="BG7" i="7"/>
  <c r="BG5" i="7"/>
  <c r="BG4" i="7"/>
  <c r="BG3" i="7"/>
  <c r="BG2" i="7"/>
  <c r="G2" i="5"/>
  <c r="BH45" i="7"/>
  <c r="BH38" i="7"/>
  <c r="BH43" i="7"/>
  <c r="BH40" i="7"/>
  <c r="BH26" i="7"/>
  <c r="BH23" i="7"/>
  <c r="BH22" i="7"/>
  <c r="BH18" i="7"/>
  <c r="B2" i="5"/>
  <c r="F7" i="5"/>
  <c r="F2" i="5"/>
  <c r="E2" i="5"/>
  <c r="D2" i="5"/>
  <c r="C2" i="5"/>
  <c r="M2" i="4"/>
  <c r="BH44" i="7" s="1"/>
  <c r="L2" i="4"/>
  <c r="K2" i="4"/>
  <c r="J2" i="4"/>
  <c r="I2" i="4"/>
  <c r="D3" i="5" l="1"/>
  <c r="G7" i="5"/>
  <c r="G6" i="5"/>
  <c r="J2" i="5"/>
  <c r="J3" i="5"/>
  <c r="C34" i="6" s="1"/>
  <c r="C35" i="6" s="1"/>
  <c r="G5" i="5"/>
  <c r="F6" i="5"/>
  <c r="D6" i="5"/>
  <c r="D5" i="5"/>
  <c r="F3" i="5"/>
  <c r="C5" i="5"/>
  <c r="C4" i="5"/>
  <c r="D4" i="5"/>
  <c r="D7" i="5"/>
  <c r="G4" i="5"/>
  <c r="E4" i="5"/>
  <c r="B5" i="5"/>
  <c r="BH28" i="7"/>
  <c r="E5" i="5"/>
  <c r="B4" i="5"/>
  <c r="F5" i="5"/>
  <c r="C3" i="5"/>
  <c r="C6" i="5"/>
  <c r="C7" i="5"/>
  <c r="E6" i="5"/>
  <c r="E7" i="5"/>
  <c r="B6" i="5"/>
  <c r="B7" i="5"/>
  <c r="B3" i="5"/>
  <c r="E3" i="5"/>
</calcChain>
</file>

<file path=xl/sharedStrings.xml><?xml version="1.0" encoding="utf-8"?>
<sst xmlns="http://schemas.openxmlformats.org/spreadsheetml/2006/main" count="336" uniqueCount="204">
  <si>
    <t>Appalachian State University</t>
  </si>
  <si>
    <t>Coastal Carolina University</t>
  </si>
  <si>
    <t>Arkansas State University</t>
  </si>
  <si>
    <t>Georgia Southern University</t>
  </si>
  <si>
    <t>Georgia State University</t>
  </si>
  <si>
    <t>James Madison University</t>
  </si>
  <si>
    <t>Marshall University</t>
  </si>
  <si>
    <t>Old Dominion University</t>
  </si>
  <si>
    <t>University of Louisiana at Lafayette</t>
  </si>
  <si>
    <t>University of South Alabama</t>
  </si>
  <si>
    <t>University of Southern Mississippi</t>
  </si>
  <si>
    <t>Troy University</t>
  </si>
  <si>
    <t>University</t>
  </si>
  <si>
    <t>Total football expenses</t>
  </si>
  <si>
    <t>Overall wins</t>
  </si>
  <si>
    <t>Overall losses</t>
  </si>
  <si>
    <t>Conference wins</t>
  </si>
  <si>
    <t>Conference losses</t>
  </si>
  <si>
    <t>Financial data source</t>
  </si>
  <si>
    <t>Sport results source</t>
  </si>
  <si>
    <t>Division</t>
  </si>
  <si>
    <t>Expenses per participant</t>
  </si>
  <si>
    <t>Overall win percentage</t>
  </si>
  <si>
    <t>Conference win percentage</t>
  </si>
  <si>
    <t>Wins per $1M spent</t>
  </si>
  <si>
    <t>Conference wins per $1M spent</t>
  </si>
  <si>
    <t>East</t>
  </si>
  <si>
    <t>Sun Belt Conference – 2023 Football Standings</t>
  </si>
  <si>
    <t>West</t>
  </si>
  <si>
    <t>Texas State University</t>
  </si>
  <si>
    <t>Football participants</t>
  </si>
  <si>
    <t>Total Football expenses</t>
  </si>
  <si>
    <t>Metric</t>
  </si>
  <si>
    <t>Mean</t>
  </si>
  <si>
    <t>Median</t>
  </si>
  <si>
    <t>Minimum</t>
  </si>
  <si>
    <t>Maximum</t>
  </si>
  <si>
    <t>JMU</t>
  </si>
  <si>
    <t>JMU rank</t>
  </si>
  <si>
    <t>Conference wins per $1M</t>
  </si>
  <si>
    <t>ULM</t>
  </si>
  <si>
    <t xml:space="preserve">Troy </t>
  </si>
  <si>
    <t xml:space="preserve">Georgia Southern </t>
  </si>
  <si>
    <t>Arkansas State</t>
  </si>
  <si>
    <t xml:space="preserve">Georgia State </t>
  </si>
  <si>
    <t xml:space="preserve">App State </t>
  </si>
  <si>
    <t xml:space="preserve">Marshall </t>
  </si>
  <si>
    <t>ODU</t>
  </si>
  <si>
    <t>Louisiana</t>
  </si>
  <si>
    <t xml:space="preserve">Coastal Carolina </t>
  </si>
  <si>
    <t>Texas State</t>
  </si>
  <si>
    <t xml:space="preserve"> South Alabama</t>
  </si>
  <si>
    <t>Southern Miss</t>
  </si>
  <si>
    <t>Correlation</t>
  </si>
  <si>
    <t>Total expenses vs overall win percentage</t>
  </si>
  <si>
    <t>Total expenses vs conference win percentage</t>
  </si>
  <si>
    <t>Conference Win Percentage</t>
  </si>
  <si>
    <t>Conference Win Per 1M spent</t>
  </si>
  <si>
    <t>Sun Belt Football Spending and Performance — Methodology &amp; Sources</t>
  </si>
  <si>
    <t>1. Research Question</t>
  </si>
  <si>
    <t>Which Sun Belt football programs achieved the strongest on-field performance relative to their reported spending during the 2023 season?</t>
  </si>
  <si>
    <t>2. Scope</t>
  </si>
  <si>
    <t>Conference</t>
  </si>
  <si>
    <t>Sun Belt Conference</t>
  </si>
  <si>
    <t>Programs analyzed</t>
  </si>
  <si>
    <t>14 football programs</t>
  </si>
  <si>
    <t>Financial dataset</t>
  </si>
  <si>
    <t>EADA Survey Year 2024</t>
  </si>
  <si>
    <t>Financial period</t>
  </si>
  <si>
    <t>Broadly corresponding to July 2023–June 2024</t>
  </si>
  <si>
    <t>Conference composition</t>
  </si>
  <si>
    <t>2023 Sun Belt membership: Texas State included; Louisiana Tech excluded</t>
  </si>
  <si>
    <t>The EADA reporting period broadly overlaps with the 2023 football season. Individual institutions may use slightly different twelve-month reporting periods</t>
  </si>
  <si>
    <t>3. Raw Variables</t>
  </si>
  <si>
    <t>Variable</t>
  </si>
  <si>
    <t>Definition</t>
  </si>
  <si>
    <t>Source</t>
  </si>
  <si>
    <t>Number of football participants reported by the institution</t>
  </si>
  <si>
    <t>EADA</t>
  </si>
  <si>
    <t>Total reported expenses attributed to the football program</t>
  </si>
  <si>
    <t>Overall wins and losses</t>
  </si>
  <si>
    <t>Final overall 2023 season record, including postseason games</t>
  </si>
  <si>
    <t>Sun Belt</t>
  </si>
  <si>
    <t>Conference wins and losses</t>
  </si>
  <si>
    <t>2023 regular-season Sun Belt record</t>
  </si>
  <si>
    <t>4. Calculated Metrics</t>
  </si>
  <si>
    <t>Formula</t>
  </si>
  <si>
    <t>Total football expenses / Football participants</t>
  </si>
  <si>
    <t>Overall wins / (Overall wins + Overall losses)</t>
  </si>
  <si>
    <t>Conference wins / (Conference wins + Conference losses)</t>
  </si>
  <si>
    <t>Overall wins / (Total football expenses / 1,000,000)</t>
  </si>
  <si>
    <t>Conference wins / (Total football expenses / 1,000,000)</t>
  </si>
  <si>
    <t>5. Correlation Analysis</t>
  </si>
  <si>
    <t>Relationship analyzed</t>
  </si>
  <si>
    <t>Total football expenses vs. conference win percentage</t>
  </si>
  <si>
    <t>Correlation coefficient</t>
  </si>
  <si>
    <t>The positive relationship is moderate. The R² value indicates that approximately 16% of the observed linear variation in conference win percentage is associated with differences in reported football spending within this sample. This result is descriptive and does not demonstrate causation.</t>
  </si>
  <si>
    <t>6. Data Sources</t>
  </si>
  <si>
    <t>Source ID</t>
  </si>
  <si>
    <t>Variables used</t>
  </si>
  <si>
    <t>Link</t>
  </si>
  <si>
    <t>FIN-01</t>
  </si>
  <si>
    <t>U.S. Department of Education — EADA Survey Year 2024</t>
  </si>
  <si>
    <t>Football participants and total football expenses</t>
  </si>
  <si>
    <t>SPORT-01</t>
  </si>
  <si>
    <t>Sun Belt Conference — 2023 Football Standings</t>
  </si>
  <si>
    <t>Overall and conference wins and losses</t>
  </si>
  <si>
    <t>RAW-01</t>
  </si>
  <si>
    <t>EADA custom data export — Sport_Data_2024.csv</t>
  </si>
  <si>
    <t>Raw financial dataset retained with the project</t>
  </si>
  <si>
    <t>7. Limitations</t>
  </si>
  <si>
    <t>• The analysis covers only one football season.</t>
  </si>
  <si>
    <t>• Strength of schedule is not controlled.</t>
  </si>
  <si>
    <t>• Injuries, coaching changes and roster quality are not included.</t>
  </si>
  <si>
    <t>• Spending levels may reflect decisions and investments made before the 2023 season.</t>
  </si>
  <si>
    <t>• Wins per $1M is a descriptive sporting-performance metric, not a financial ROI.</t>
  </si>
  <si>
    <t>• Correlation does not establish that higher spending causes stronger performance.</t>
  </si>
  <si>
    <t>8. Interpretation Guidelines</t>
  </si>
  <si>
    <t>R²</t>
  </si>
  <si>
    <t>Football season</t>
  </si>
  <si>
    <t>EADA official portal</t>
  </si>
  <si>
    <t>2023 Sun Belt standings</t>
  </si>
  <si>
    <t>Key Findings</t>
  </si>
  <si>
    <t>Reported football expenses varied substantially across the Sun Belt, ranging from $7.8M at ULM to $21.6M at Texas State. The highest-spending program therefore spent approximately 2.8 times more than the lowest-spending program.</t>
  </si>
  <si>
    <t>1. Large spending disparities</t>
  </si>
  <si>
    <t>2. Spending was positively associated with performance, but the relationship was limited</t>
  </si>
  <si>
    <t>3. Troy achieved the strongest spending-adjusted conference performance</t>
  </si>
  <si>
    <t>Troy recorded 7 conference wins with $10.3M in reported football expenses, resulting in 0.68 conference wins per $1M spent — the highest value among the 14 Sun Belt programs analyzed.</t>
  </si>
  <si>
    <t>4. JMU combined high spending with elite on-field performance</t>
  </si>
  <si>
    <t>JMU ranked 3rd in total football expenses, tied for 1st in conference win percentage at 87.5%, and ranked 3rd in conference wins per $1M spent. JMU therefore combined a high level of investment with both strong absolute and spending-adjusted performance.</t>
  </si>
  <si>
    <t>5. Higher spending did not guarantee proportionally stronger results</t>
  </si>
  <si>
    <t>Texas State reported the highest football expenses in the conference at $21.6M but finished with a 50% conference win percentage and only 0.18 conference wins per $1M spent.</t>
  </si>
  <si>
    <t>Conclusion</t>
  </si>
  <si>
    <t>The 2023 Sun Belt data suggest that financial resources are associated with on-field performance, but spending alone does not explain success. Troy achieved the strongest results relative to its reported spending, while JMU combined one of the conference’s highest spending levels with elite performance and strong spending-adjusted outcomes. These findings should be interpreted as descriptive relationships rather than evidence of financial efficiency or causation.</t>
  </si>
  <si>
    <t>Total football expenses showed a moderate positive correlation with conference win percentage (r = 0.41). The linear model produced an R² of 0.16, indicating that the fitted linear relationship accounted for only a limited share of the observed variation in conference performance.</t>
  </si>
  <si>
    <t>• Reported EADA expenses are annual actual expenditures rather than a preseason budget; postseason participation and other in-season activities may therefore affect total reported spending.</t>
  </si>
  <si>
    <t>• EADA expenses exclude capital expenditures, debt service and certain indirect facility costs, so total reported expenses do not capture every resource available to a football program.</t>
  </si>
  <si>
    <t>• The analysis covers all 14 Sun Belt football programs but only one conference and one season, limiting generalization to other conferences or years.</t>
  </si>
  <si>
    <t>University of Louisiana at Monroe</t>
  </si>
  <si>
    <t>Programs should therefore be compared in terms of reported spending and sporting outcomes, rather than described as financially profitable or inefficient.</t>
  </si>
  <si>
    <t>It does not necessarily indicate better management, greater profitability or superior long-term program quality.</t>
  </si>
  <si>
    <t>• Overall-season metrics are less directly comparable because programs played different numbers of games due to postseason participation; conference metrics are therefore emphasized in the main analysis.</t>
  </si>
  <si>
    <t>A higher number of conference wins per $1 million indicates stronger sporting results relative to reported spending during the analyzed season.</t>
  </si>
  <si>
    <t>Survey Year</t>
  </si>
  <si>
    <t>UNITID</t>
  </si>
  <si>
    <t>OPE ID</t>
  </si>
  <si>
    <t>Institution Name</t>
  </si>
  <si>
    <t>State CD</t>
  </si>
  <si>
    <t>Classification Name</t>
  </si>
  <si>
    <t>Classification Other</t>
  </si>
  <si>
    <t>Sanction Code</t>
  </si>
  <si>
    <t>Sanction Name</t>
  </si>
  <si>
    <t>Male Undergraduates</t>
  </si>
  <si>
    <t>Female Undergraduates</t>
  </si>
  <si>
    <t>Total Undergraduates</t>
  </si>
  <si>
    <t>Sport Code</t>
  </si>
  <si>
    <t>Sport Name</t>
  </si>
  <si>
    <t># Participants Men's Team</t>
  </si>
  <si>
    <t># Participants Women's Team</t>
  </si>
  <si>
    <t># Participants Men Coed Team</t>
  </si>
  <si>
    <t># Participants Women Coed Team</t>
  </si>
  <si>
    <t>Total # Participants Men's Team/Men Coed Team</t>
  </si>
  <si>
    <t>Total # Participants Women's Team/Women Coed Team</t>
  </si>
  <si>
    <t>Operating Expenses per Participant/Men's Team</t>
  </si>
  <si>
    <t>Operating Expenses per Team/Men's Team</t>
  </si>
  <si>
    <t>Operating Expenses per Participant/Women's Team</t>
  </si>
  <si>
    <t>Operating Expenses per Team/Women's Team</t>
  </si>
  <si>
    <t>Total Operating Expenses Men's Team and Women's Team</t>
  </si>
  <si>
    <t>Operating Expenses per Participant/Men Coed Team</t>
  </si>
  <si>
    <t>Operating Expenses per Team/Men Coed Team</t>
  </si>
  <si>
    <t>Operating Expenses per Participant/Women Coed Team</t>
  </si>
  <si>
    <t>Operating Expenses per Team/Women Coed Team</t>
  </si>
  <si>
    <t>Total Operating Expenses Men Coed Team/Women Coed Team</t>
  </si>
  <si>
    <t>Revenues Men's Team</t>
  </si>
  <si>
    <t>Revenues Women's Team</t>
  </si>
  <si>
    <t>Total Revenues For Men's Team and Women's Team</t>
  </si>
  <si>
    <t>Revenues Men Coed Team</t>
  </si>
  <si>
    <t>Revenues Women Coed Team</t>
  </si>
  <si>
    <t>Total Revenues Men Coed Team/Women Coed Team</t>
  </si>
  <si>
    <t>Total Revenues Men's Team and Men Coed Team</t>
  </si>
  <si>
    <t>Total Revenues Women's Team and Women Coed Team</t>
  </si>
  <si>
    <t>Total Revenues Men's Team/Women's Team and Coed Team</t>
  </si>
  <si>
    <t>Expenses Men's Team</t>
  </si>
  <si>
    <t>Expenses Women's Team</t>
  </si>
  <si>
    <t>Total Expenses Men's Team and Women's Team</t>
  </si>
  <si>
    <t>Expenses Men Coed Team</t>
  </si>
  <si>
    <t>Expenses Women Coed Team</t>
  </si>
  <si>
    <t>Total Expenses Men Coed Team and Women Coed Team</t>
  </si>
  <si>
    <t>Total Expenses Men's Team and Men Coed Team</t>
  </si>
  <si>
    <t>Total Expenses Women's Team and  Women Coed Team</t>
  </si>
  <si>
    <t>Total Expenses Men's Team/Women's Team and Coed Team</t>
  </si>
  <si>
    <t>NC</t>
  </si>
  <si>
    <t>NCAA</t>
  </si>
  <si>
    <t>Football</t>
  </si>
  <si>
    <t>AR</t>
  </si>
  <si>
    <t>SC</t>
  </si>
  <si>
    <t>GA</t>
  </si>
  <si>
    <t>VA</t>
  </si>
  <si>
    <t>WV</t>
  </si>
  <si>
    <t>TX</t>
  </si>
  <si>
    <t>AL</t>
  </si>
  <si>
    <t>LA</t>
  </si>
  <si>
    <t>MS</t>
  </si>
  <si>
    <t>Embedded in workbook — Raw Data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</si>
</sst>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_-[$$-409]* #,##0.00_ ;_-[$$-409]* \-#,##0.00\ ;_-[$$-409]* &quot;-&quot;??_ ;_-@_ "/>
    <numFmt numFmtId="165" formatCode="_-[$$-409]* #,##0_ ;_-[$$-409]* \-#,##0\ ;_-[$$-409]* &quot;-&quot;??_ ;_-@_ "/>
    <numFmt numFmtId="166" formatCode="00000000"/>
  </numFmts>
  <fonts count="8" x14ac:knownFonts="1">
    <font>
      <sz val="11"/>
      <color theme="1"/>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
      <b/>
      <sz val="11"/>
      <color rgb="FF3F3F3F"/>
      <name val="Aptos Narrow"/>
      <family val="2"/>
      <scheme val="minor"/>
    </font>
    <font>
      <b/>
      <sz val="11"/>
      <color theme="0"/>
      <name val="Aptos Narrow"/>
      <family val="2"/>
      <scheme val="minor"/>
    </font>
    <font>
      <b/>
      <sz val="16"/>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F2F2F2"/>
      </patternFill>
    </fill>
    <fill>
      <patternFill patternType="solid">
        <fgColor rgb="FFA5A5A5"/>
      </patternFill>
    </fill>
  </fills>
  <borders count="15">
    <border>
      <left/>
      <right/>
      <top/>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double">
        <color rgb="FF3F3F3F"/>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right/>
      <top style="double">
        <color rgb="FF3F3F3F"/>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rgb="FF3F3F3F"/>
      </right>
      <top style="medium">
        <color indexed="64"/>
      </top>
      <bottom style="medium">
        <color indexed="64"/>
      </bottom>
      <diagonal/>
    </border>
    <border>
      <left style="thin">
        <color rgb="FF3F3F3F"/>
      </left>
      <right style="medium">
        <color indexed="64"/>
      </right>
      <top style="medium">
        <color indexed="64"/>
      </top>
      <bottom style="medium">
        <color indexed="64"/>
      </bottom>
      <diagonal/>
    </border>
  </borders>
  <cellStyleXfs count="6">
    <xf numFmtId="0" fontId="0" fillId="0" borderId="0"/>
    <xf numFmtId="44" fontId="1" fillId="0" borderId="0" applyFont="0" applyFill="0" applyBorder="0" applyAlignment="0" applyProtection="0"/>
    <xf numFmtId="9" fontId="1" fillId="0" borderId="0" applyFont="0" applyFill="0" applyBorder="0" applyAlignment="0" applyProtection="0"/>
    <xf numFmtId="0" fontId="4" fillId="2" borderId="1" applyNumberFormat="0" applyAlignment="0" applyProtection="0"/>
    <xf numFmtId="0" fontId="5" fillId="3" borderId="2" applyNumberFormat="0" applyAlignment="0" applyProtection="0"/>
    <xf numFmtId="0" fontId="7" fillId="0" borderId="0" applyNumberFormat="0" applyFill="0" applyBorder="0" applyAlignment="0" applyProtection="0"/>
  </cellStyleXfs>
  <cellXfs count="64">
    <xf numFmtId="0" fontId="0" fillId="0" borderId="0" xfId="0"/>
    <xf numFmtId="0" fontId="0" fillId="0" borderId="0" xfId="0" applyAlignment="1">
      <alignment horizontal="left"/>
    </xf>
    <xf numFmtId="164" fontId="0" fillId="0" borderId="0" xfId="1" applyNumberFormat="1" applyFont="1"/>
    <xf numFmtId="164" fontId="0" fillId="0" borderId="0" xfId="0" applyNumberFormat="1" applyAlignment="1">
      <alignment horizontal="left"/>
    </xf>
    <xf numFmtId="9" fontId="0" fillId="0" borderId="0" xfId="2" applyFont="1"/>
    <xf numFmtId="9" fontId="0" fillId="0" borderId="0" xfId="2" applyFont="1" applyAlignment="1">
      <alignment horizontal="left"/>
    </xf>
    <xf numFmtId="164" fontId="0" fillId="0" borderId="0" xfId="0" applyNumberFormat="1"/>
    <xf numFmtId="0" fontId="3" fillId="0" borderId="0" xfId="0" applyFont="1" applyAlignment="1">
      <alignment horizontal="right" vertical="center" wrapText="1"/>
    </xf>
    <xf numFmtId="2" fontId="0" fillId="0" borderId="0" xfId="0" applyNumberFormat="1"/>
    <xf numFmtId="9" fontId="0" fillId="0" borderId="0" xfId="0" applyNumberFormat="1" applyAlignment="1">
      <alignment horizontal="right"/>
    </xf>
    <xf numFmtId="9" fontId="0" fillId="0" borderId="0" xfId="2" applyFont="1" applyAlignment="1">
      <alignment horizontal="right"/>
    </xf>
    <xf numFmtId="2" fontId="0" fillId="0" borderId="0" xfId="2" applyNumberFormat="1" applyFont="1" applyAlignment="1">
      <alignment horizontal="left"/>
    </xf>
    <xf numFmtId="0" fontId="3" fillId="0" borderId="0" xfId="0" applyFont="1" applyAlignment="1">
      <alignment horizontal="center"/>
    </xf>
    <xf numFmtId="0" fontId="0" fillId="0" borderId="0" xfId="0" applyAlignment="1">
      <alignment horizontal="left" vertical="center" wrapText="1"/>
    </xf>
    <xf numFmtId="0" fontId="0" fillId="0" borderId="0" xfId="0" applyAlignment="1">
      <alignment horizontal="left" vertical="top" wrapText="1"/>
    </xf>
    <xf numFmtId="0" fontId="3" fillId="0" borderId="4" xfId="0" applyFont="1" applyBorder="1" applyAlignment="1">
      <alignment horizontal="center" vertical="center" wrapText="1"/>
    </xf>
    <xf numFmtId="0" fontId="0" fillId="0" borderId="4" xfId="0" applyBorder="1" applyAlignment="1">
      <alignment vertical="center" wrapText="1"/>
    </xf>
    <xf numFmtId="9" fontId="0" fillId="0" borderId="4" xfId="2" applyFont="1" applyBorder="1" applyAlignment="1">
      <alignment horizontal="right" vertical="center" wrapText="1"/>
    </xf>
    <xf numFmtId="9" fontId="0" fillId="0" borderId="4" xfId="0" applyNumberFormat="1" applyBorder="1" applyAlignment="1">
      <alignment horizontal="right" vertical="center" wrapText="1"/>
    </xf>
    <xf numFmtId="2" fontId="0" fillId="0" borderId="4" xfId="2" applyNumberFormat="1" applyFont="1" applyBorder="1" applyAlignment="1">
      <alignment horizontal="right" vertical="center" wrapText="1"/>
    </xf>
    <xf numFmtId="2" fontId="0" fillId="0" borderId="4" xfId="0" applyNumberFormat="1" applyBorder="1" applyAlignment="1">
      <alignment horizontal="right" vertical="center" wrapText="1"/>
    </xf>
    <xf numFmtId="0" fontId="3" fillId="0" borderId="5" xfId="0" applyFont="1" applyBorder="1" applyAlignment="1">
      <alignment horizontal="right" vertical="center" wrapText="1"/>
    </xf>
    <xf numFmtId="0" fontId="0" fillId="0" borderId="0" xfId="0" applyAlignment="1">
      <alignment horizontal="center" vertical="top"/>
    </xf>
    <xf numFmtId="165" fontId="0" fillId="0" borderId="4" xfId="0" applyNumberFormat="1" applyBorder="1" applyAlignment="1">
      <alignment horizontal="right" vertical="center" wrapText="1"/>
    </xf>
    <xf numFmtId="165" fontId="0" fillId="0" borderId="4" xfId="1" applyNumberFormat="1" applyFont="1" applyBorder="1" applyAlignment="1">
      <alignment horizontal="right" vertical="center" wrapText="1"/>
    </xf>
    <xf numFmtId="0" fontId="0" fillId="0" borderId="4" xfId="0" applyBorder="1" applyAlignment="1">
      <alignment horizontal="left"/>
    </xf>
    <xf numFmtId="164" fontId="0" fillId="0" borderId="4" xfId="0" applyNumberFormat="1" applyBorder="1" applyAlignment="1">
      <alignment horizontal="left"/>
    </xf>
    <xf numFmtId="0" fontId="0" fillId="0" borderId="4" xfId="0" applyBorder="1"/>
    <xf numFmtId="9" fontId="0" fillId="0" borderId="4" xfId="2" applyFont="1" applyBorder="1"/>
    <xf numFmtId="9" fontId="0" fillId="0" borderId="4" xfId="2" applyFont="1" applyBorder="1" applyAlignment="1">
      <alignment horizontal="left"/>
    </xf>
    <xf numFmtId="2" fontId="0" fillId="0" borderId="4" xfId="0" applyNumberFormat="1" applyBorder="1" applyAlignment="1">
      <alignment horizontal="left"/>
    </xf>
    <xf numFmtId="164" fontId="0" fillId="0" borderId="4" xfId="1" applyNumberFormat="1" applyFont="1" applyBorder="1" applyAlignment="1">
      <alignment horizontal="left"/>
    </xf>
    <xf numFmtId="166" fontId="0" fillId="0" borderId="0" xfId="0" applyNumberFormat="1"/>
    <xf numFmtId="0" fontId="0" fillId="0" borderId="10" xfId="0" applyBorder="1"/>
    <xf numFmtId="0" fontId="4" fillId="2" borderId="10" xfId="3" applyBorder="1" applyAlignment="1">
      <alignment vertical="center" wrapText="1"/>
    </xf>
    <xf numFmtId="0" fontId="0" fillId="0" borderId="10" xfId="0" applyBorder="1" applyAlignment="1">
      <alignment vertical="center" wrapText="1"/>
    </xf>
    <xf numFmtId="0" fontId="4" fillId="2" borderId="10" xfId="3" applyBorder="1" applyAlignment="1">
      <alignment horizontal="center" vertical="center" wrapText="1"/>
    </xf>
    <xf numFmtId="0" fontId="7" fillId="0" borderId="10" xfId="5" applyBorder="1" applyAlignment="1">
      <alignment horizontal="center" vertical="center"/>
    </xf>
    <xf numFmtId="0" fontId="0" fillId="0" borderId="10" xfId="0" applyBorder="1" applyAlignment="1">
      <alignment horizontal="center" wrapText="1"/>
    </xf>
    <xf numFmtId="0" fontId="5" fillId="3" borderId="6" xfId="4" applyBorder="1" applyAlignment="1">
      <alignment horizontal="center"/>
    </xf>
    <xf numFmtId="0" fontId="5" fillId="3" borderId="7" xfId="4" applyBorder="1" applyAlignment="1">
      <alignment horizontal="center"/>
    </xf>
    <xf numFmtId="0" fontId="5" fillId="3" borderId="8" xfId="4" applyBorder="1" applyAlignment="1">
      <alignment horizontal="center"/>
    </xf>
    <xf numFmtId="0" fontId="0" fillId="0" borderId="0" xfId="0" applyAlignment="1">
      <alignment horizontal="left" vertical="center" wrapText="1"/>
    </xf>
    <xf numFmtId="0" fontId="3" fillId="0" borderId="0" xfId="0" applyFont="1" applyAlignment="1">
      <alignment horizontal="left"/>
    </xf>
    <xf numFmtId="0" fontId="5" fillId="3" borderId="2" xfId="4" applyAlignment="1">
      <alignment horizontal="center"/>
    </xf>
    <xf numFmtId="0" fontId="0" fillId="0" borderId="9" xfId="0" applyBorder="1" applyAlignment="1">
      <alignment horizontal="center" vertical="top" wrapText="1"/>
    </xf>
    <xf numFmtId="0" fontId="3" fillId="0" borderId="9" xfId="0" applyFont="1" applyBorder="1"/>
    <xf numFmtId="0" fontId="3" fillId="0" borderId="0" xfId="0" applyFont="1"/>
    <xf numFmtId="0" fontId="4" fillId="2" borderId="11" xfId="3" applyBorder="1" applyAlignment="1">
      <alignment horizontal="center" vertical="center" wrapText="1"/>
    </xf>
    <xf numFmtId="0" fontId="4" fillId="2" borderId="12" xfId="3" applyBorder="1" applyAlignment="1">
      <alignment horizontal="center" vertical="center" wrapText="1"/>
    </xf>
    <xf numFmtId="0" fontId="0" fillId="0" borderId="11" xfId="0" applyBorder="1" applyAlignment="1">
      <alignment vertical="center" wrapText="1"/>
    </xf>
    <xf numFmtId="0" fontId="0" fillId="0" borderId="12" xfId="0" applyBorder="1" applyAlignment="1">
      <alignment vertical="center" wrapText="1"/>
    </xf>
    <xf numFmtId="0" fontId="5" fillId="3" borderId="3" xfId="4" applyBorder="1" applyAlignment="1">
      <alignment horizontal="center"/>
    </xf>
    <xf numFmtId="0" fontId="5" fillId="3" borderId="0" xfId="4" applyBorder="1" applyAlignment="1">
      <alignment horizontal="center"/>
    </xf>
    <xf numFmtId="0" fontId="6" fillId="0" borderId="0" xfId="0" applyFont="1" applyAlignment="1">
      <alignment horizontal="center"/>
    </xf>
    <xf numFmtId="0" fontId="0" fillId="0" borderId="0" xfId="0" applyAlignment="1">
      <alignment horizontal="center" vertical="center" wrapText="1"/>
    </xf>
    <xf numFmtId="0" fontId="0" fillId="0" borderId="11" xfId="0" applyBorder="1" applyAlignment="1">
      <alignment horizontal="center"/>
    </xf>
    <xf numFmtId="0" fontId="0" fillId="0" borderId="12" xfId="0" applyBorder="1" applyAlignment="1">
      <alignment horizontal="center"/>
    </xf>
    <xf numFmtId="0" fontId="4" fillId="2" borderId="13" xfId="3" applyBorder="1" applyAlignment="1">
      <alignment horizontal="center"/>
    </xf>
    <xf numFmtId="0" fontId="4" fillId="2" borderId="14" xfId="3" applyBorder="1" applyAlignment="1">
      <alignment horizontal="center"/>
    </xf>
    <xf numFmtId="2" fontId="0" fillId="0" borderId="11" xfId="0" applyNumberFormat="1" applyBorder="1" applyAlignment="1">
      <alignment horizontal="center"/>
    </xf>
    <xf numFmtId="2" fontId="0" fillId="0" borderId="11" xfId="0" applyNumberFormat="1" applyBorder="1" applyAlignment="1">
      <alignment horizontal="center" vertical="center" wrapText="1"/>
    </xf>
    <xf numFmtId="0" fontId="0" fillId="0" borderId="12" xfId="0" applyBorder="1" applyAlignment="1">
      <alignment horizontal="center" vertical="center" wrapText="1"/>
    </xf>
    <xf numFmtId="0" fontId="0" fillId="0" borderId="11" xfId="0" applyBorder="1" applyAlignment="1">
      <alignment horizontal="center" vertical="center" wrapText="1"/>
    </xf>
  </cellXfs>
  <cellStyles count="6">
    <cellStyle name="Check Cell" xfId="4" builtinId="23"/>
    <cellStyle name="Currency" xfId="1" builtinId="4"/>
    <cellStyle name="Hyperlink" xfId="5" builtinId="8"/>
    <cellStyle name="Normal" xfId="0" builtinId="0"/>
    <cellStyle name="Output" xfId="3" builtinId="21"/>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sz="1300"/>
              <a:t> </a:t>
            </a:r>
            <a:r>
              <a:rPr lang="en-US" sz="1300" b="0" i="0" u="none" strike="noStrike" baseline="0"/>
              <a:t>Reported Football Expenses by Program — EADA 2024</a:t>
            </a:r>
            <a:endParaRPr lang="en-US" sz="1300"/>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dashboard!$BG$1</c:f>
              <c:strCache>
                <c:ptCount val="1"/>
                <c:pt idx="0">
                  <c:v> Total Football expenses </c:v>
                </c:pt>
              </c:strCache>
            </c:strRef>
          </c:tx>
          <c:spPr>
            <a:solidFill>
              <a:schemeClr val="accent1"/>
            </a:solidFill>
            <a:ln>
              <a:noFill/>
            </a:ln>
            <a:effectLst/>
          </c:spPr>
          <c:invertIfNegative val="0"/>
          <c:dPt>
            <c:idx val="11"/>
            <c:invertIfNegative val="0"/>
            <c:bubble3D val="0"/>
            <c:spPr>
              <a:solidFill>
                <a:schemeClr val="accent2"/>
              </a:solidFill>
              <a:ln>
                <a:noFill/>
              </a:ln>
              <a:effectLst/>
            </c:spPr>
            <c:extLst>
              <c:ext xmlns:c16="http://schemas.microsoft.com/office/drawing/2014/chart" uri="{C3380CC4-5D6E-409C-BE32-E72D297353CC}">
                <c16:uniqueId val="{00000001-9BA4-4849-8A7F-41E7025434BA}"/>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dashboard!$BF$2:$BF$15</c:f>
              <c:strCache>
                <c:ptCount val="14"/>
                <c:pt idx="0">
                  <c:v>ULM</c:v>
                </c:pt>
                <c:pt idx="1">
                  <c:v>Troy </c:v>
                </c:pt>
                <c:pt idx="2">
                  <c:v>Southern Miss</c:v>
                </c:pt>
                <c:pt idx="3">
                  <c:v>Georgia Southern </c:v>
                </c:pt>
                <c:pt idx="4">
                  <c:v>Arkansas State</c:v>
                </c:pt>
                <c:pt idx="5">
                  <c:v>Georgia State </c:v>
                </c:pt>
                <c:pt idx="6">
                  <c:v>App State </c:v>
                </c:pt>
                <c:pt idx="7">
                  <c:v>Marshall </c:v>
                </c:pt>
                <c:pt idx="8">
                  <c:v> South Alabama</c:v>
                </c:pt>
                <c:pt idx="9">
                  <c:v>ODU</c:v>
                </c:pt>
                <c:pt idx="10">
                  <c:v>Louisiana</c:v>
                </c:pt>
                <c:pt idx="11">
                  <c:v>JMU</c:v>
                </c:pt>
                <c:pt idx="12">
                  <c:v>Coastal Carolina </c:v>
                </c:pt>
                <c:pt idx="13">
                  <c:v>Texas State</c:v>
                </c:pt>
              </c:strCache>
            </c:strRef>
          </c:cat>
          <c:val>
            <c:numRef>
              <c:f>dashboard!$BG$2:$BG$15</c:f>
              <c:numCache>
                <c:formatCode>_-[$$-409]* #\ ##0.00_ ;_-[$$-409]* \-#\ ##0.00\ ;_-[$$-409]* "-"??_ ;_-@_ </c:formatCode>
                <c:ptCount val="14"/>
                <c:pt idx="0">
                  <c:v>7.7728859999999997</c:v>
                </c:pt>
                <c:pt idx="1">
                  <c:v>10.281345</c:v>
                </c:pt>
                <c:pt idx="2">
                  <c:v>11.033253</c:v>
                </c:pt>
                <c:pt idx="3">
                  <c:v>11.225441</c:v>
                </c:pt>
                <c:pt idx="4">
                  <c:v>11.536628</c:v>
                </c:pt>
                <c:pt idx="5">
                  <c:v>12.260120000000001</c:v>
                </c:pt>
                <c:pt idx="6">
                  <c:v>13.288981</c:v>
                </c:pt>
                <c:pt idx="7">
                  <c:v>13.569649</c:v>
                </c:pt>
                <c:pt idx="8">
                  <c:v>13.932976</c:v>
                </c:pt>
                <c:pt idx="9">
                  <c:v>14.787371</c:v>
                </c:pt>
                <c:pt idx="10">
                  <c:v>14.846553999999999</c:v>
                </c:pt>
                <c:pt idx="11">
                  <c:v>16.863958</c:v>
                </c:pt>
                <c:pt idx="12">
                  <c:v>17.052582000000001</c:v>
                </c:pt>
                <c:pt idx="13">
                  <c:v>21.622408</c:v>
                </c:pt>
              </c:numCache>
            </c:numRef>
          </c:val>
          <c:extLst>
            <c:ext xmlns:c16="http://schemas.microsoft.com/office/drawing/2014/chart" uri="{C3380CC4-5D6E-409C-BE32-E72D297353CC}">
              <c16:uniqueId val="{00000000-9BA4-4849-8A7F-41E7025434BA}"/>
            </c:ext>
          </c:extLst>
        </c:ser>
        <c:dLbls>
          <c:dLblPos val="outEnd"/>
          <c:showLegendKey val="0"/>
          <c:showVal val="1"/>
          <c:showCatName val="0"/>
          <c:showSerName val="0"/>
          <c:showPercent val="0"/>
          <c:showBubbleSize val="0"/>
        </c:dLbls>
        <c:gapWidth val="182"/>
        <c:axId val="1723425087"/>
        <c:axId val="1297019375"/>
      </c:barChart>
      <c:catAx>
        <c:axId val="172342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19375"/>
        <c:crosses val="autoZero"/>
        <c:auto val="1"/>
        <c:lblAlgn val="ctr"/>
        <c:lblOffset val="100"/>
        <c:noMultiLvlLbl val="0"/>
      </c:catAx>
      <c:valAx>
        <c:axId val="1297019375"/>
        <c:scaling>
          <c:orientation val="minMax"/>
          <c:max val="25"/>
          <c:min val="0"/>
        </c:scaling>
        <c:delete val="0"/>
        <c:axPos val="b"/>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42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sz="1300" b="0" i="0" u="none" strike="noStrike" baseline="0"/>
              <a:t>Football Spending vs Conference Performance</a:t>
            </a:r>
            <a:endParaRPr lang="en-US" sz="1300"/>
          </a:p>
        </c:rich>
      </c:tx>
      <c:layout>
        <c:manualLayout>
          <c:xMode val="edge"/>
          <c:yMode val="edge"/>
          <c:x val="0.29369396459108332"/>
          <c:y val="8.2486761524277405E-3"/>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552292784438055E-2"/>
          <c:y val="9.1906988165977116E-2"/>
          <c:w val="0.85210018426068479"/>
          <c:h val="0.74740879700803908"/>
        </c:manualLayout>
      </c:layout>
      <c:scatterChart>
        <c:scatterStyle val="lineMarker"/>
        <c:varyColors val="0"/>
        <c:ser>
          <c:idx val="0"/>
          <c:order val="0"/>
          <c:tx>
            <c:strRef>
              <c:f>dashboard!$BH$16</c:f>
              <c:strCache>
                <c:ptCount val="1"/>
                <c:pt idx="0">
                  <c:v>Conference Win Percentage</c:v>
                </c:pt>
              </c:strCache>
            </c:strRef>
          </c:tx>
          <c:spPr>
            <a:ln w="38100" cap="rnd">
              <a:noFill/>
              <a:round/>
            </a:ln>
            <a:effectLst/>
          </c:spPr>
          <c:marker>
            <c:symbol val="circle"/>
            <c:size val="5"/>
            <c:spPr>
              <a:solidFill>
                <a:schemeClr val="accent1"/>
              </a:solidFill>
              <a:ln w="9525">
                <a:solidFill>
                  <a:schemeClr val="accent1"/>
                </a:solidFill>
              </a:ln>
              <a:effectLst/>
            </c:spPr>
          </c:marker>
          <c:dPt>
            <c:idx val="11"/>
            <c:marker>
              <c:symbol val="circle"/>
              <c:size val="5"/>
              <c:spPr>
                <a:solidFill>
                  <a:schemeClr val="accent2"/>
                </a:solidFill>
                <a:ln w="9525">
                  <a:noFill/>
                </a:ln>
                <a:effectLst/>
              </c:spPr>
            </c:marker>
            <c:bubble3D val="0"/>
            <c:extLst>
              <c:ext xmlns:c16="http://schemas.microsoft.com/office/drawing/2014/chart" uri="{C3380CC4-5D6E-409C-BE32-E72D297353CC}">
                <c16:uniqueId val="{0000001C-E51D-471A-83DB-16666DAAAE5D}"/>
              </c:ext>
            </c:extLst>
          </c:dPt>
          <c:dLbls>
            <c:dLbl>
              <c:idx val="0"/>
              <c:layout>
                <c:manualLayout>
                  <c:x val="-3.3319936923440006E-2"/>
                  <c:y val="-4.8247905212820991E-2"/>
                </c:manualLayout>
              </c:layout>
              <c:tx>
                <c:rich>
                  <a:bodyPr/>
                  <a:lstStyle/>
                  <a:p>
                    <a:fld id="{213366D4-BC93-46A1-8280-AE7F7113AA9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E51D-471A-83DB-16666DAAAE5D}"/>
                </c:ext>
              </c:extLst>
            </c:dLbl>
            <c:dLbl>
              <c:idx val="1"/>
              <c:layout>
                <c:manualLayout>
                  <c:x val="-5.6455279931274409E-2"/>
                  <c:y val="-4.0522855790027887E-2"/>
                </c:manualLayout>
              </c:layout>
              <c:tx>
                <c:rich>
                  <a:bodyPr/>
                  <a:lstStyle/>
                  <a:p>
                    <a:fld id="{F175F2DB-1436-4665-A73C-8088A6212A7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E51D-471A-83DB-16666DAAAE5D}"/>
                </c:ext>
              </c:extLst>
            </c:dLbl>
            <c:dLbl>
              <c:idx val="2"/>
              <c:layout>
                <c:manualLayout>
                  <c:x val="-0.1162539062912869"/>
                  <c:y val="3.5702864804028171E-2"/>
                </c:manualLayout>
              </c:layout>
              <c:tx>
                <c:rich>
                  <a:bodyPr/>
                  <a:lstStyle/>
                  <a:p>
                    <a:fld id="{3DE061B6-59BE-40BA-A5A1-9F2D47EF875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E51D-471A-83DB-16666DAAAE5D}"/>
                </c:ext>
              </c:extLst>
            </c:dLbl>
            <c:dLbl>
              <c:idx val="3"/>
              <c:layout>
                <c:manualLayout>
                  <c:x val="-0.19022748609474927"/>
                  <c:y val="-2.9400079377419435E-2"/>
                </c:manualLayout>
              </c:layout>
              <c:tx>
                <c:rich>
                  <a:bodyPr/>
                  <a:lstStyle/>
                  <a:p>
                    <a:fld id="{FD28D5D0-B228-4038-B091-B002C763ACC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E51D-471A-83DB-16666DAAAE5D}"/>
                </c:ext>
              </c:extLst>
            </c:dLbl>
            <c:dLbl>
              <c:idx val="4"/>
              <c:layout>
                <c:manualLayout>
                  <c:x val="-0.11128725289514763"/>
                  <c:y val="-4.1861605929003773E-2"/>
                </c:manualLayout>
              </c:layout>
              <c:tx>
                <c:rich>
                  <a:bodyPr/>
                  <a:lstStyle/>
                  <a:p>
                    <a:fld id="{A53268FF-7A20-4990-8F23-D73E7F322DC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E51D-471A-83DB-16666DAAAE5D}"/>
                </c:ext>
              </c:extLst>
            </c:dLbl>
            <c:dLbl>
              <c:idx val="5"/>
              <c:layout>
                <c:manualLayout>
                  <c:x val="-2.3269767432284903E-2"/>
                  <c:y val="7.2803103609489106E-2"/>
                </c:manualLayout>
              </c:layout>
              <c:tx>
                <c:rich>
                  <a:bodyPr/>
                  <a:lstStyle/>
                  <a:p>
                    <a:fld id="{5444B1EC-FBE1-4A26-9963-AEAA4270862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E51D-471A-83DB-16666DAAAE5D}"/>
                </c:ext>
              </c:extLst>
            </c:dLbl>
            <c:dLbl>
              <c:idx val="6"/>
              <c:layout>
                <c:manualLayout>
                  <c:x val="-4.0602934428913419E-2"/>
                  <c:y val="-5.1346263409763573E-2"/>
                </c:manualLayout>
              </c:layout>
              <c:tx>
                <c:rich>
                  <a:bodyPr/>
                  <a:lstStyle/>
                  <a:p>
                    <a:fld id="{BCB3FADC-678A-4D45-8F07-C2A83684E86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E51D-471A-83DB-16666DAAAE5D}"/>
                </c:ext>
              </c:extLst>
            </c:dLbl>
            <c:dLbl>
              <c:idx val="7"/>
              <c:layout>
                <c:manualLayout>
                  <c:x val="-4.2834511348744907E-2"/>
                  <c:y val="-4.4185935290219289E-2"/>
                </c:manualLayout>
              </c:layout>
              <c:tx>
                <c:rich>
                  <a:bodyPr/>
                  <a:lstStyle/>
                  <a:p>
                    <a:fld id="{220C184B-043A-401E-861F-972ECF67619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E51D-471A-83DB-16666DAAAE5D}"/>
                </c:ext>
              </c:extLst>
            </c:dLbl>
            <c:dLbl>
              <c:idx val="8"/>
              <c:layout>
                <c:manualLayout>
                  <c:x val="3.2200149465906318E-2"/>
                  <c:y val="-7.4977449649319457E-4"/>
                </c:manualLayout>
              </c:layout>
              <c:tx>
                <c:rich>
                  <a:bodyPr/>
                  <a:lstStyle/>
                  <a:p>
                    <a:fld id="{50978CFA-C738-463A-B456-65C53FAA65A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E51D-471A-83DB-16666DAAAE5D}"/>
                </c:ext>
              </c:extLst>
            </c:dLbl>
            <c:dLbl>
              <c:idx val="9"/>
              <c:layout>
                <c:manualLayout>
                  <c:x val="-2.6980978419348878E-2"/>
                  <c:y val="-4.8410936519511255E-2"/>
                </c:manualLayout>
              </c:layout>
              <c:tx>
                <c:rich>
                  <a:bodyPr/>
                  <a:lstStyle/>
                  <a:p>
                    <a:fld id="{29B3F93F-8E53-4DF5-9CE4-9C50FF6DBC2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E51D-471A-83DB-16666DAAAE5D}"/>
                </c:ext>
              </c:extLst>
            </c:dLbl>
            <c:dLbl>
              <c:idx val="10"/>
              <c:layout>
                <c:manualLayout>
                  <c:x val="5.1492008412089445E-2"/>
                  <c:y val="2.484910528640857E-2"/>
                </c:manualLayout>
              </c:layout>
              <c:tx>
                <c:rich>
                  <a:bodyPr/>
                  <a:lstStyle/>
                  <a:p>
                    <a:fld id="{8D41AF0F-6D25-4CE7-B8B3-62B83D1DB76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E51D-471A-83DB-16666DAAAE5D}"/>
                </c:ext>
              </c:extLst>
            </c:dLbl>
            <c:dLbl>
              <c:idx val="11"/>
              <c:layout>
                <c:manualLayout>
                  <c:x val="-3.272951363763815E-4"/>
                  <c:y val="-3.2634802381488207E-2"/>
                </c:manualLayout>
              </c:layout>
              <c:tx>
                <c:rich>
                  <a:bodyPr/>
                  <a:lstStyle/>
                  <a:p>
                    <a:fld id="{B40B2212-414B-42DC-8F69-6F099BE2054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E51D-471A-83DB-16666DAAAE5D}"/>
                </c:ext>
              </c:extLst>
            </c:dLbl>
            <c:dLbl>
              <c:idx val="12"/>
              <c:layout>
                <c:manualLayout>
                  <c:x val="-3.8443393740606374E-2"/>
                  <c:y val="-3.6669628958502107E-2"/>
                </c:manualLayout>
              </c:layout>
              <c:tx>
                <c:rich>
                  <a:bodyPr/>
                  <a:lstStyle/>
                  <a:p>
                    <a:fld id="{4C6C0F83-886A-47FA-900E-3B062C0EA85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E51D-471A-83DB-16666DAAAE5D}"/>
                </c:ext>
              </c:extLst>
            </c:dLbl>
            <c:dLbl>
              <c:idx val="13"/>
              <c:layout>
                <c:manualLayout>
                  <c:x val="-5.3473507682226064E-2"/>
                  <c:y val="3.5702864804028116E-2"/>
                </c:manualLayout>
              </c:layout>
              <c:tx>
                <c:rich>
                  <a:bodyPr/>
                  <a:lstStyle/>
                  <a:p>
                    <a:fld id="{F68675ED-3D56-433F-ADF0-FC247917AE8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E51D-471A-83DB-16666DAAAE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1"/>
            <c:dispEq val="0"/>
            <c:trendlineLbl>
              <c:layout>
                <c:manualLayout>
                  <c:x val="5.9541269079953017E-2"/>
                  <c:y val="-3.20466948063785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dashboard!$BG$17:$BG$30</c:f>
              <c:numCache>
                <c:formatCode>_-[$$-409]* #\ ##0.00_ ;_-[$$-409]* \-#\ ##0.00\ ;_-[$$-409]* "-"??_ ;_-@_ </c:formatCode>
                <c:ptCount val="14"/>
                <c:pt idx="0">
                  <c:v>7.7728859999999997</c:v>
                </c:pt>
                <c:pt idx="1">
                  <c:v>10.281345</c:v>
                </c:pt>
                <c:pt idx="2">
                  <c:v>11.033253</c:v>
                </c:pt>
                <c:pt idx="3">
                  <c:v>11.225441</c:v>
                </c:pt>
                <c:pt idx="4">
                  <c:v>11.536628</c:v>
                </c:pt>
                <c:pt idx="5">
                  <c:v>12.260120000000001</c:v>
                </c:pt>
                <c:pt idx="6">
                  <c:v>13.288981</c:v>
                </c:pt>
                <c:pt idx="7">
                  <c:v>13.569649</c:v>
                </c:pt>
                <c:pt idx="8">
                  <c:v>13.932976</c:v>
                </c:pt>
                <c:pt idx="9">
                  <c:v>14.787371</c:v>
                </c:pt>
                <c:pt idx="10">
                  <c:v>14.846553999999999</c:v>
                </c:pt>
                <c:pt idx="11">
                  <c:v>16.863958</c:v>
                </c:pt>
                <c:pt idx="12">
                  <c:v>17.052582000000001</c:v>
                </c:pt>
                <c:pt idx="13">
                  <c:v>21.622408</c:v>
                </c:pt>
              </c:numCache>
            </c:numRef>
          </c:xVal>
          <c:yVal>
            <c:numRef>
              <c:f>dashboard!$BH$17:$BH$30</c:f>
              <c:numCache>
                <c:formatCode>0%</c:formatCode>
                <c:ptCount val="14"/>
                <c:pt idx="0">
                  <c:v>0</c:v>
                </c:pt>
                <c:pt idx="1">
                  <c:v>0.875</c:v>
                </c:pt>
                <c:pt idx="2">
                  <c:v>0.25</c:v>
                </c:pt>
                <c:pt idx="3">
                  <c:v>0.375</c:v>
                </c:pt>
                <c:pt idx="4">
                  <c:v>0.5</c:v>
                </c:pt>
                <c:pt idx="5">
                  <c:v>0.375</c:v>
                </c:pt>
                <c:pt idx="6">
                  <c:v>0.75</c:v>
                </c:pt>
                <c:pt idx="7">
                  <c:v>0.375</c:v>
                </c:pt>
                <c:pt idx="8">
                  <c:v>0.5</c:v>
                </c:pt>
                <c:pt idx="9">
                  <c:v>0.625</c:v>
                </c:pt>
                <c:pt idx="10">
                  <c:v>0.375</c:v>
                </c:pt>
                <c:pt idx="11">
                  <c:v>0.875</c:v>
                </c:pt>
                <c:pt idx="12">
                  <c:v>0.625</c:v>
                </c:pt>
                <c:pt idx="13">
                  <c:v>0.5</c:v>
                </c:pt>
              </c:numCache>
            </c:numRef>
          </c:yVal>
          <c:smooth val="0"/>
          <c:extLst>
            <c:ext xmlns:c15="http://schemas.microsoft.com/office/drawing/2012/chart" uri="{02D57815-91ED-43cb-92C2-25804820EDAC}">
              <c15:datalabelsRange>
                <c15:f>dashboard!$BF$17:$BF$30</c15:f>
                <c15:dlblRangeCache>
                  <c:ptCount val="14"/>
                  <c:pt idx="0">
                    <c:v>ULM</c:v>
                  </c:pt>
                  <c:pt idx="1">
                    <c:v>Troy </c:v>
                  </c:pt>
                  <c:pt idx="2">
                    <c:v>Southern Miss</c:v>
                  </c:pt>
                  <c:pt idx="3">
                    <c:v>Georgia Southern </c:v>
                  </c:pt>
                  <c:pt idx="4">
                    <c:v>Arkansas State</c:v>
                  </c:pt>
                  <c:pt idx="5">
                    <c:v>Georgia State </c:v>
                  </c:pt>
                  <c:pt idx="6">
                    <c:v>App State </c:v>
                  </c:pt>
                  <c:pt idx="7">
                    <c:v>Marshall </c:v>
                  </c:pt>
                  <c:pt idx="8">
                    <c:v> South Alabama</c:v>
                  </c:pt>
                  <c:pt idx="9">
                    <c:v>ODU</c:v>
                  </c:pt>
                  <c:pt idx="10">
                    <c:v>Louisiana</c:v>
                  </c:pt>
                  <c:pt idx="11">
                    <c:v>JMU</c:v>
                  </c:pt>
                  <c:pt idx="12">
                    <c:v>Coastal Carolina </c:v>
                  </c:pt>
                  <c:pt idx="13">
                    <c:v>Texas State</c:v>
                  </c:pt>
                </c15:dlblRangeCache>
              </c15:datalabelsRange>
            </c:ext>
            <c:ext xmlns:c16="http://schemas.microsoft.com/office/drawing/2014/chart" uri="{C3380CC4-5D6E-409C-BE32-E72D297353CC}">
              <c16:uniqueId val="{00000000-E51D-471A-83DB-16666DAAAE5D}"/>
            </c:ext>
          </c:extLst>
        </c:ser>
        <c:dLbls>
          <c:showLegendKey val="0"/>
          <c:showVal val="0"/>
          <c:showCatName val="0"/>
          <c:showSerName val="0"/>
          <c:showPercent val="0"/>
          <c:showBubbleSize val="0"/>
        </c:dLbls>
        <c:axId val="302315968"/>
        <c:axId val="47713616"/>
      </c:scatterChart>
      <c:valAx>
        <c:axId val="3023159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Football expenses — USD millions</a:t>
                </a:r>
                <a:endParaRPr lang="en-US"/>
              </a:p>
            </c:rich>
          </c:tx>
          <c:layout>
            <c:manualLayout>
              <c:xMode val="edge"/>
              <c:yMode val="edge"/>
              <c:x val="0.40512810633355822"/>
              <c:y val="0.9253439862867837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3616"/>
        <c:crosses val="autoZero"/>
        <c:crossBetween val="midCat"/>
      </c:valAx>
      <c:valAx>
        <c:axId val="47713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Conference win percentage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159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sz="1300" b="0" i="0" u="none" strike="noStrike" baseline="0"/>
              <a:t>Conference Wins per $1M Spent</a:t>
            </a:r>
            <a:endParaRPr lang="en-US" sz="1300"/>
          </a:p>
        </c:rich>
      </c:tx>
      <c:layout>
        <c:manualLayout>
          <c:xMode val="edge"/>
          <c:yMode val="edge"/>
          <c:x val="0.40197568323407978"/>
          <c:y val="1.5775836070302404E-2"/>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dashboard!$BH$31</c:f>
              <c:strCache>
                <c:ptCount val="1"/>
                <c:pt idx="0">
                  <c:v>Conference Win Per 1M spent</c:v>
                </c:pt>
              </c:strCache>
            </c:strRef>
          </c:tx>
          <c:spPr>
            <a:solidFill>
              <a:schemeClr val="accent1"/>
            </a:solidFill>
            <a:ln>
              <a:noFill/>
            </a:ln>
            <a:effectLst/>
          </c:spPr>
          <c:invertIfNegative val="0"/>
          <c:dPt>
            <c:idx val="11"/>
            <c:invertIfNegative val="0"/>
            <c:bubble3D val="0"/>
            <c:spPr>
              <a:solidFill>
                <a:schemeClr val="accent2"/>
              </a:solidFill>
              <a:ln>
                <a:noFill/>
              </a:ln>
              <a:effectLst/>
            </c:spPr>
            <c:extLst>
              <c:ext xmlns:c16="http://schemas.microsoft.com/office/drawing/2014/chart" uri="{C3380CC4-5D6E-409C-BE32-E72D297353CC}">
                <c16:uniqueId val="{00000002-6597-4D4C-9E77-2DA4D9C627F9}"/>
              </c:ext>
            </c:extLst>
          </c:dPt>
          <c:dLbls>
            <c:dLbl>
              <c:idx val="1"/>
              <c:layout>
                <c:manualLayout>
                  <c:x val="-3.607249351027123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597-4D4C-9E77-2DA4D9C627F9}"/>
                </c:ext>
              </c:extLst>
            </c:dLbl>
            <c:dLbl>
              <c:idx val="2"/>
              <c:layout>
                <c:manualLayout>
                  <c:x val="-7.286124611892900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597-4D4C-9E77-2DA4D9C627F9}"/>
                </c:ext>
              </c:extLst>
            </c:dLbl>
            <c:dLbl>
              <c:idx val="3"/>
              <c:layout>
                <c:manualLayout>
                  <c:x val="3.667583646844232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597-4D4C-9E77-2DA4D9C627F9}"/>
                </c:ext>
              </c:extLst>
            </c:dLbl>
            <c:dLbl>
              <c:idx val="4"/>
              <c:layout>
                <c:manualLayout>
                  <c:x val="4.142168498857518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597-4D4C-9E77-2DA4D9C627F9}"/>
                </c:ext>
              </c:extLst>
            </c:dLbl>
            <c:dLbl>
              <c:idx val="5"/>
              <c:layout>
                <c:manualLayout>
                  <c:x val="-2.0685562761402188E-3"/>
                  <c:y val="-2.62931030913236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597-4D4C-9E77-2DA4D9C627F9}"/>
                </c:ext>
              </c:extLst>
            </c:dLbl>
            <c:dLbl>
              <c:idx val="6"/>
              <c:layout>
                <c:manualLayout>
                  <c:x val="-2.9513245484575458E-3"/>
                  <c:y val="-2.62931030913236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597-4D4C-9E77-2DA4D9C627F9}"/>
                </c:ext>
              </c:extLst>
            </c:dLbl>
            <c:dLbl>
              <c:idx val="7"/>
              <c:layout>
                <c:manualLayout>
                  <c:x val="-9.7121363110162159E-3"/>
                  <c:y val="-9.640693096709329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597-4D4C-9E77-2DA4D9C627F9}"/>
                </c:ext>
              </c:extLst>
            </c:dLbl>
            <c:dLbl>
              <c:idx val="8"/>
              <c:layout>
                <c:manualLayout>
                  <c:x val="-9.3403557060653883E-3"/>
                  <c:y val="-5.25862061826476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597-4D4C-9E77-2DA4D9C627F9}"/>
                </c:ext>
              </c:extLst>
            </c:dLbl>
            <c:dLbl>
              <c:idx val="9"/>
              <c:layout>
                <c:manualLayout>
                  <c:x val="-6.6344130981374396E-3"/>
                  <c:y val="-4.820346548354664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97-4D4C-9E77-2DA4D9C627F9}"/>
                </c:ext>
              </c:extLst>
            </c:dLbl>
            <c:dLbl>
              <c:idx val="10"/>
              <c:layout>
                <c:manualLayout>
                  <c:x val="-2.2856249158395561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97-4D4C-9E77-2DA4D9C627F9}"/>
                </c:ext>
              </c:extLst>
            </c:dLbl>
            <c:dLbl>
              <c:idx val="11"/>
              <c:layout>
                <c:manualLayout>
                  <c:x val="-5.6272685400296984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97-4D4C-9E77-2DA4D9C627F9}"/>
                </c:ext>
              </c:extLst>
            </c:dLbl>
            <c:dLbl>
              <c:idx val="12"/>
              <c:layout>
                <c:manualLayout>
                  <c:x val="-5.2239725347499426E-3"/>
                  <c:y val="-2.62931030913236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97-4D4C-9E77-2DA4D9C627F9}"/>
                </c:ext>
              </c:extLst>
            </c:dLbl>
            <c:dLbl>
              <c:idx val="13"/>
              <c:layout>
                <c:manualLayout>
                  <c:x val="-2.823914694721103E-3"/>
                  <c:y val="-2.629310309132372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597-4D4C-9E77-2DA4D9C627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dashboard!$BG$32:$BG$45</c:f>
              <c:strCache>
                <c:ptCount val="14"/>
                <c:pt idx="0">
                  <c:v>ULM</c:v>
                </c:pt>
                <c:pt idx="1">
                  <c:v>Southern Miss</c:v>
                </c:pt>
                <c:pt idx="2">
                  <c:v>Texas State</c:v>
                </c:pt>
                <c:pt idx="3">
                  <c:v>Louisiana</c:v>
                </c:pt>
                <c:pt idx="4">
                  <c:v>Marshall </c:v>
                </c:pt>
                <c:pt idx="5">
                  <c:v>Georgia State </c:v>
                </c:pt>
                <c:pt idx="6">
                  <c:v>Georgia Southern </c:v>
                </c:pt>
                <c:pt idx="7">
                  <c:v> South Alabama</c:v>
                </c:pt>
                <c:pt idx="8">
                  <c:v>Coastal Carolina </c:v>
                </c:pt>
                <c:pt idx="9">
                  <c:v>ODU</c:v>
                </c:pt>
                <c:pt idx="10">
                  <c:v>Arkansas State</c:v>
                </c:pt>
                <c:pt idx="11">
                  <c:v>JMU</c:v>
                </c:pt>
                <c:pt idx="12">
                  <c:v>App State </c:v>
                </c:pt>
                <c:pt idx="13">
                  <c:v>Troy </c:v>
                </c:pt>
              </c:strCache>
            </c:strRef>
          </c:cat>
          <c:val>
            <c:numRef>
              <c:f>dashboard!$BH$32:$BH$45</c:f>
              <c:numCache>
                <c:formatCode>0.00</c:formatCode>
                <c:ptCount val="14"/>
                <c:pt idx="0">
                  <c:v>0</c:v>
                </c:pt>
                <c:pt idx="1">
                  <c:v>0.18127020199754323</c:v>
                </c:pt>
                <c:pt idx="2">
                  <c:v>0.18499327179470482</c:v>
                </c:pt>
                <c:pt idx="3">
                  <c:v>0.20206709247142468</c:v>
                </c:pt>
                <c:pt idx="4">
                  <c:v>0.22108162119742375</c:v>
                </c:pt>
                <c:pt idx="5">
                  <c:v>0.24469581048146347</c:v>
                </c:pt>
                <c:pt idx="6">
                  <c:v>0.26725007952916952</c:v>
                </c:pt>
                <c:pt idx="7">
                  <c:v>0.28708870237054884</c:v>
                </c:pt>
                <c:pt idx="8">
                  <c:v>0.29321072902625533</c:v>
                </c:pt>
                <c:pt idx="9">
                  <c:v>0.3381263647202738</c:v>
                </c:pt>
                <c:pt idx="10">
                  <c:v>0.34672176306629632</c:v>
                </c:pt>
                <c:pt idx="11">
                  <c:v>0.41508642277216296</c:v>
                </c:pt>
                <c:pt idx="12">
                  <c:v>0.45150188716501288</c:v>
                </c:pt>
                <c:pt idx="13">
                  <c:v>0.68084477274130961</c:v>
                </c:pt>
              </c:numCache>
            </c:numRef>
          </c:val>
          <c:extLst>
            <c:ext xmlns:c16="http://schemas.microsoft.com/office/drawing/2014/chart" uri="{C3380CC4-5D6E-409C-BE32-E72D297353CC}">
              <c16:uniqueId val="{00000000-6597-4D4C-9E77-2DA4D9C627F9}"/>
            </c:ext>
          </c:extLst>
        </c:ser>
        <c:dLbls>
          <c:dLblPos val="inBase"/>
          <c:showLegendKey val="0"/>
          <c:showVal val="1"/>
          <c:showCatName val="0"/>
          <c:showSerName val="0"/>
          <c:showPercent val="0"/>
          <c:showBubbleSize val="0"/>
        </c:dLbls>
        <c:gapWidth val="182"/>
        <c:axId val="307741472"/>
        <c:axId val="47632976"/>
      </c:barChart>
      <c:catAx>
        <c:axId val="30774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32976"/>
        <c:crosses val="autoZero"/>
        <c:auto val="1"/>
        <c:lblAlgn val="ctr"/>
        <c:lblOffset val="100"/>
        <c:noMultiLvlLbl val="0"/>
      </c:catAx>
      <c:valAx>
        <c:axId val="47632976"/>
        <c:scaling>
          <c:orientation val="minMax"/>
          <c:max val="0.8"/>
          <c:min val="0"/>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41472"/>
        <c:crosses val="autoZero"/>
        <c:crossBetween val="between"/>
        <c:majorUnit val="0.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51835</xdr:colOff>
      <xdr:row>3</xdr:row>
      <xdr:rowOff>31230</xdr:rowOff>
    </xdr:from>
    <xdr:to>
      <xdr:col>17</xdr:col>
      <xdr:colOff>0</xdr:colOff>
      <xdr:row>30</xdr:row>
      <xdr:rowOff>20484</xdr:rowOff>
    </xdr:to>
    <xdr:graphicFrame macro="">
      <xdr:nvGraphicFramePr>
        <xdr:cNvPr id="5" name="Chart 4">
          <a:extLst>
            <a:ext uri="{FF2B5EF4-FFF2-40B4-BE49-F238E27FC236}">
              <a16:creationId xmlns:a16="http://schemas.microsoft.com/office/drawing/2014/main" id="{1652DA14-4247-68DF-C7D7-1EFD3196B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30976</xdr:colOff>
      <xdr:row>2</xdr:row>
      <xdr:rowOff>162779</xdr:rowOff>
    </xdr:from>
    <xdr:to>
      <xdr:col>34</xdr:col>
      <xdr:colOff>12961</xdr:colOff>
      <xdr:row>29</xdr:row>
      <xdr:rowOff>185353</xdr:rowOff>
    </xdr:to>
    <xdr:graphicFrame macro="">
      <xdr:nvGraphicFramePr>
        <xdr:cNvPr id="4" name="Chart 3">
          <a:extLst>
            <a:ext uri="{FF2B5EF4-FFF2-40B4-BE49-F238E27FC236}">
              <a16:creationId xmlns:a16="http://schemas.microsoft.com/office/drawing/2014/main" id="{8C0AD662-D989-351E-747C-39F35F6AA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48704</xdr:colOff>
      <xdr:row>31</xdr:row>
      <xdr:rowOff>12958</xdr:rowOff>
    </xdr:from>
    <xdr:to>
      <xdr:col>33</xdr:col>
      <xdr:colOff>602711</xdr:colOff>
      <xdr:row>76</xdr:row>
      <xdr:rowOff>21524</xdr:rowOff>
    </xdr:to>
    <xdr:graphicFrame macro="">
      <xdr:nvGraphicFramePr>
        <xdr:cNvPr id="8" name="Chart 7">
          <a:extLst>
            <a:ext uri="{FF2B5EF4-FFF2-40B4-BE49-F238E27FC236}">
              <a16:creationId xmlns:a16="http://schemas.microsoft.com/office/drawing/2014/main" id="{92270861-016C-22B9-8F37-B9D51F4AB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0.37733</cdr:x>
      <cdr:y>0.06217</cdr:y>
    </cdr:from>
    <cdr:to>
      <cdr:x>0.66645</cdr:x>
      <cdr:y>0.11377</cdr:y>
    </cdr:to>
    <cdr:sp macro="" textlink="">
      <cdr:nvSpPr>
        <cdr:cNvPr id="2" name="TextBox 1">
          <a:extLst xmlns:a="http://schemas.openxmlformats.org/drawingml/2006/main">
            <a:ext uri="{FF2B5EF4-FFF2-40B4-BE49-F238E27FC236}">
              <a16:creationId xmlns:a16="http://schemas.microsoft.com/office/drawing/2014/main" id="{DE0540DF-FF8A-B1FC-DF20-A9DD8BD27D87}"/>
            </a:ext>
          </a:extLst>
        </cdr:cNvPr>
        <cdr:cNvSpPr txBox="1"/>
      </cdr:nvSpPr>
      <cdr:spPr>
        <a:xfrm xmlns:a="http://schemas.openxmlformats.org/drawingml/2006/main">
          <a:off x="3229530" y="285137"/>
          <a:ext cx="2474531" cy="23665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EADA Survey Year 2024 — USD millions</a:t>
          </a:r>
          <a:endParaRPr lang="en-US" sz="900" kern="1200"/>
        </a:p>
      </cdr:txBody>
    </cdr:sp>
  </cdr:relSizeAnchor>
</c:userShapes>
</file>

<file path=xl/drawings/drawing3.xml><?xml version="1.0" encoding="utf-8"?>
<c:userShapes xmlns:c="http://schemas.openxmlformats.org/drawingml/2006/chart">
  <cdr:relSizeAnchor xmlns:cdr="http://schemas.openxmlformats.org/drawingml/2006/chartDrawing">
    <cdr:from>
      <cdr:x>0.34604</cdr:x>
      <cdr:y>0.04478</cdr:y>
    </cdr:from>
    <cdr:to>
      <cdr:x>0.72149</cdr:x>
      <cdr:y>0.07996</cdr:y>
    </cdr:to>
    <cdr:sp macro="" textlink="">
      <cdr:nvSpPr>
        <cdr:cNvPr id="2" name="TextBox 1">
          <a:extLst xmlns:a="http://schemas.openxmlformats.org/drawingml/2006/main">
            <a:ext uri="{FF2B5EF4-FFF2-40B4-BE49-F238E27FC236}">
              <a16:creationId xmlns:a16="http://schemas.microsoft.com/office/drawing/2014/main" id="{1BDA38AC-4797-A057-6EDD-271512B8F2F2}"/>
            </a:ext>
          </a:extLst>
        </cdr:cNvPr>
        <cdr:cNvSpPr txBox="1"/>
      </cdr:nvSpPr>
      <cdr:spPr>
        <a:xfrm xmlns:a="http://schemas.openxmlformats.org/drawingml/2006/main">
          <a:off x="2306171" y="206858"/>
          <a:ext cx="2502212" cy="1624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2023 Sun Belt Season — EADA Survey Year </a:t>
          </a:r>
          <a:r>
            <a:rPr lang="en-US" sz="1000"/>
            <a:t>2024</a:t>
          </a:r>
          <a:endParaRPr lang="en-US" sz="1000" kern="1200"/>
        </a:p>
      </cdr:txBody>
    </cdr:sp>
  </cdr:relSizeAnchor>
</c:userShapes>
</file>

<file path=xl/drawings/drawing4.xml><?xml version="1.0" encoding="utf-8"?>
<c:userShapes xmlns:c="http://schemas.openxmlformats.org/drawingml/2006/chart">
  <cdr:relSizeAnchor xmlns:cdr="http://schemas.openxmlformats.org/drawingml/2006/chartDrawing">
    <cdr:from>
      <cdr:x>0.39848</cdr:x>
      <cdr:y>0.04307</cdr:y>
    </cdr:from>
    <cdr:to>
      <cdr:x>0.56908</cdr:x>
      <cdr:y>0.07624</cdr:y>
    </cdr:to>
    <cdr:sp macro="" textlink="">
      <cdr:nvSpPr>
        <cdr:cNvPr id="2" name="TextBox 1">
          <a:extLst xmlns:a="http://schemas.openxmlformats.org/drawingml/2006/main">
            <a:ext uri="{FF2B5EF4-FFF2-40B4-BE49-F238E27FC236}">
              <a16:creationId xmlns:a16="http://schemas.microsoft.com/office/drawing/2014/main" id="{21E7181C-B304-9EE5-B1B1-5BB7424E4519}"/>
            </a:ext>
          </a:extLst>
        </cdr:cNvPr>
        <cdr:cNvSpPr txBox="1"/>
      </cdr:nvSpPr>
      <cdr:spPr>
        <a:xfrm xmlns:a="http://schemas.openxmlformats.org/drawingml/2006/main">
          <a:off x="5534782" y="291794"/>
          <a:ext cx="2369612" cy="22469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2023 Sun Belt Season — EADA Survey Year 2024</a:t>
          </a:r>
          <a:endParaRPr lang="en-US" sz="900" kern="120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unbeltsports.org/standings.aspx?standings=108" TargetMode="External"/><Relationship Id="rId1" Type="http://schemas.openxmlformats.org/officeDocument/2006/relationships/hyperlink" Target="https://ope.ed.gov/athle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9D2C6-33B4-4CD3-A4B7-AA1A3D95F069}">
  <dimension ref="A1:O18"/>
  <sheetViews>
    <sheetView tabSelected="1" zoomScale="40" zoomScaleNormal="40" workbookViewId="0">
      <selection activeCell="L15" sqref="L15"/>
    </sheetView>
  </sheetViews>
  <sheetFormatPr defaultRowHeight="14.5" x14ac:dyDescent="0.35"/>
  <cols>
    <col min="1" max="1" width="34.36328125" customWidth="1"/>
    <col min="2" max="3" width="25.6328125" customWidth="1"/>
    <col min="4" max="4" width="25.6328125" style="6" customWidth="1"/>
    <col min="5" max="9" width="25.6328125" customWidth="1"/>
    <col min="10" max="11" width="25.6328125" style="4" customWidth="1"/>
    <col min="12" max="13" width="25.6328125" customWidth="1"/>
    <col min="14" max="14" width="55.54296875" customWidth="1"/>
    <col min="15" max="15" width="45.6328125" customWidth="1"/>
    <col min="16" max="16" width="31.453125" customWidth="1"/>
    <col min="17" max="17" width="20.6328125" customWidth="1"/>
  </cols>
  <sheetData>
    <row r="1" spans="1:15" s="1" customFormat="1" ht="30" customHeight="1" x14ac:dyDescent="0.35">
      <c r="A1" s="25" t="s">
        <v>12</v>
      </c>
      <c r="B1" s="25" t="s">
        <v>20</v>
      </c>
      <c r="C1" s="25" t="s">
        <v>30</v>
      </c>
      <c r="D1" s="26" t="s">
        <v>31</v>
      </c>
      <c r="E1" s="27" t="s">
        <v>14</v>
      </c>
      <c r="F1" s="25" t="s">
        <v>15</v>
      </c>
      <c r="G1" s="25" t="s">
        <v>16</v>
      </c>
      <c r="H1" s="25" t="s">
        <v>17</v>
      </c>
      <c r="I1" s="27" t="s">
        <v>21</v>
      </c>
      <c r="J1" s="28" t="s">
        <v>22</v>
      </c>
      <c r="K1" s="29" t="s">
        <v>23</v>
      </c>
      <c r="L1" s="27" t="s">
        <v>24</v>
      </c>
      <c r="M1" s="27" t="s">
        <v>25</v>
      </c>
      <c r="N1" s="27" t="s">
        <v>18</v>
      </c>
      <c r="O1" s="27" t="s">
        <v>19</v>
      </c>
    </row>
    <row r="2" spans="1:15" s="1" customFormat="1" ht="30" customHeight="1" x14ac:dyDescent="0.35">
      <c r="A2" s="25" t="s">
        <v>0</v>
      </c>
      <c r="B2" s="25" t="s">
        <v>26</v>
      </c>
      <c r="C2" s="25">
        <v>122</v>
      </c>
      <c r="D2" s="26">
        <v>13288981</v>
      </c>
      <c r="E2" s="25">
        <v>9</v>
      </c>
      <c r="F2" s="25">
        <v>5</v>
      </c>
      <c r="G2" s="25">
        <v>6</v>
      </c>
      <c r="H2" s="25">
        <v>2</v>
      </c>
      <c r="I2" s="26">
        <f>D2/C2</f>
        <v>108926.0737704918</v>
      </c>
      <c r="J2" s="29">
        <f>E2/(E2+F2)</f>
        <v>0.6428571428571429</v>
      </c>
      <c r="K2" s="29">
        <f>G2/(G2+H2)</f>
        <v>0.75</v>
      </c>
      <c r="L2" s="30">
        <f>E2/(D2/1000000)</f>
        <v>0.6772528307475193</v>
      </c>
      <c r="M2" s="30">
        <f>G2/(D2/1000000)</f>
        <v>0.45150188716501288</v>
      </c>
      <c r="N2" s="27" t="s">
        <v>102</v>
      </c>
      <c r="O2" s="27" t="s">
        <v>27</v>
      </c>
    </row>
    <row r="3" spans="1:15" s="1" customFormat="1" ht="30" customHeight="1" x14ac:dyDescent="0.35">
      <c r="A3" s="25" t="s">
        <v>2</v>
      </c>
      <c r="B3" s="25" t="s">
        <v>28</v>
      </c>
      <c r="C3" s="25">
        <v>153</v>
      </c>
      <c r="D3" s="31">
        <v>11536628</v>
      </c>
      <c r="E3" s="25">
        <v>6</v>
      </c>
      <c r="F3" s="25">
        <v>7</v>
      </c>
      <c r="G3" s="25">
        <v>4</v>
      </c>
      <c r="H3" s="25">
        <v>4</v>
      </c>
      <c r="I3" s="26">
        <f t="shared" ref="I3:I15" si="0">D3/C3</f>
        <v>75402.797385620914</v>
      </c>
      <c r="J3" s="29">
        <f t="shared" ref="J3:J15" si="1">E3/(E3+F3)</f>
        <v>0.46153846153846156</v>
      </c>
      <c r="K3" s="29">
        <f t="shared" ref="K3:K15" si="2">G3/(G3+H3)</f>
        <v>0.5</v>
      </c>
      <c r="L3" s="30">
        <f t="shared" ref="L3:L15" si="3">E3/(D3/1000000)</f>
        <v>0.52008264459944442</v>
      </c>
      <c r="M3" s="30">
        <f t="shared" ref="M3:M15" si="4">G3/(D3/1000000)</f>
        <v>0.34672176306629632</v>
      </c>
      <c r="N3" s="27" t="s">
        <v>102</v>
      </c>
      <c r="O3" s="27" t="s">
        <v>27</v>
      </c>
    </row>
    <row r="4" spans="1:15" s="1" customFormat="1" ht="30" customHeight="1" x14ac:dyDescent="0.35">
      <c r="A4" s="25" t="s">
        <v>1</v>
      </c>
      <c r="B4" s="25" t="s">
        <v>26</v>
      </c>
      <c r="C4" s="25">
        <v>123</v>
      </c>
      <c r="D4" s="26">
        <v>17052582</v>
      </c>
      <c r="E4" s="25">
        <v>8</v>
      </c>
      <c r="F4" s="25">
        <v>5</v>
      </c>
      <c r="G4" s="25">
        <v>5</v>
      </c>
      <c r="H4" s="25">
        <v>3</v>
      </c>
      <c r="I4" s="26">
        <f t="shared" si="0"/>
        <v>138638.87804878049</v>
      </c>
      <c r="J4" s="29">
        <f t="shared" si="1"/>
        <v>0.61538461538461542</v>
      </c>
      <c r="K4" s="29">
        <f t="shared" si="2"/>
        <v>0.625</v>
      </c>
      <c r="L4" s="30">
        <f t="shared" si="3"/>
        <v>0.46913716644200859</v>
      </c>
      <c r="M4" s="30">
        <f t="shared" si="4"/>
        <v>0.29321072902625533</v>
      </c>
      <c r="N4" s="27" t="s">
        <v>102</v>
      </c>
      <c r="O4" s="27" t="s">
        <v>27</v>
      </c>
    </row>
    <row r="5" spans="1:15" s="1" customFormat="1" ht="30" customHeight="1" x14ac:dyDescent="0.35">
      <c r="A5" s="25" t="s">
        <v>3</v>
      </c>
      <c r="B5" s="25" t="s">
        <v>26</v>
      </c>
      <c r="C5" s="25">
        <v>146</v>
      </c>
      <c r="D5" s="26">
        <v>11225441</v>
      </c>
      <c r="E5" s="25">
        <v>6</v>
      </c>
      <c r="F5" s="25">
        <v>7</v>
      </c>
      <c r="G5" s="25">
        <v>3</v>
      </c>
      <c r="H5" s="25">
        <v>5</v>
      </c>
      <c r="I5" s="26">
        <f t="shared" si="0"/>
        <v>76886.582191780821</v>
      </c>
      <c r="J5" s="29">
        <f t="shared" si="1"/>
        <v>0.46153846153846156</v>
      </c>
      <c r="K5" s="29">
        <f t="shared" si="2"/>
        <v>0.375</v>
      </c>
      <c r="L5" s="30">
        <f t="shared" si="3"/>
        <v>0.53450015905833903</v>
      </c>
      <c r="M5" s="30">
        <f t="shared" si="4"/>
        <v>0.26725007952916952</v>
      </c>
      <c r="N5" s="27" t="s">
        <v>102</v>
      </c>
      <c r="O5" s="27" t="s">
        <v>27</v>
      </c>
    </row>
    <row r="6" spans="1:15" s="1" customFormat="1" ht="30" customHeight="1" x14ac:dyDescent="0.35">
      <c r="A6" s="25" t="s">
        <v>4</v>
      </c>
      <c r="B6" s="25" t="s">
        <v>26</v>
      </c>
      <c r="C6" s="25">
        <v>118</v>
      </c>
      <c r="D6" s="26">
        <v>12260120</v>
      </c>
      <c r="E6" s="25">
        <v>7</v>
      </c>
      <c r="F6" s="25">
        <v>6</v>
      </c>
      <c r="G6" s="25">
        <v>3</v>
      </c>
      <c r="H6" s="25">
        <v>5</v>
      </c>
      <c r="I6" s="26">
        <f t="shared" si="0"/>
        <v>103899.32203389831</v>
      </c>
      <c r="J6" s="29">
        <f t="shared" si="1"/>
        <v>0.53846153846153844</v>
      </c>
      <c r="K6" s="29">
        <f t="shared" si="2"/>
        <v>0.375</v>
      </c>
      <c r="L6" s="30">
        <f t="shared" si="3"/>
        <v>0.57095689112341474</v>
      </c>
      <c r="M6" s="30">
        <f t="shared" si="4"/>
        <v>0.24469581048146347</v>
      </c>
      <c r="N6" s="27" t="s">
        <v>102</v>
      </c>
      <c r="O6" s="27" t="s">
        <v>27</v>
      </c>
    </row>
    <row r="7" spans="1:15" s="1" customFormat="1" ht="30" customHeight="1" x14ac:dyDescent="0.35">
      <c r="A7" s="25" t="s">
        <v>5</v>
      </c>
      <c r="B7" s="25" t="s">
        <v>26</v>
      </c>
      <c r="C7" s="25">
        <v>121</v>
      </c>
      <c r="D7" s="26">
        <v>16863958</v>
      </c>
      <c r="E7" s="25">
        <v>11</v>
      </c>
      <c r="F7" s="25">
        <v>2</v>
      </c>
      <c r="G7" s="25">
        <v>7</v>
      </c>
      <c r="H7" s="25">
        <v>1</v>
      </c>
      <c r="I7" s="26">
        <f t="shared" si="0"/>
        <v>139371.55371900825</v>
      </c>
      <c r="J7" s="29">
        <f t="shared" si="1"/>
        <v>0.84615384615384615</v>
      </c>
      <c r="K7" s="29">
        <f t="shared" si="2"/>
        <v>0.875</v>
      </c>
      <c r="L7" s="30">
        <f t="shared" si="3"/>
        <v>0.65227866435625614</v>
      </c>
      <c r="M7" s="30">
        <f t="shared" si="4"/>
        <v>0.41508642277216296</v>
      </c>
      <c r="N7" s="27" t="s">
        <v>102</v>
      </c>
      <c r="O7" s="27" t="s">
        <v>27</v>
      </c>
    </row>
    <row r="8" spans="1:15" s="1" customFormat="1" ht="30" customHeight="1" x14ac:dyDescent="0.35">
      <c r="A8" s="25" t="s">
        <v>6</v>
      </c>
      <c r="B8" s="25" t="s">
        <v>26</v>
      </c>
      <c r="C8" s="25">
        <v>118</v>
      </c>
      <c r="D8" s="26">
        <v>13569649</v>
      </c>
      <c r="E8" s="25">
        <v>6</v>
      </c>
      <c r="F8" s="25">
        <v>7</v>
      </c>
      <c r="G8" s="25">
        <v>3</v>
      </c>
      <c r="H8" s="25">
        <v>5</v>
      </c>
      <c r="I8" s="26">
        <f t="shared" si="0"/>
        <v>114997.02542372882</v>
      </c>
      <c r="J8" s="29">
        <f t="shared" si="1"/>
        <v>0.46153846153846156</v>
      </c>
      <c r="K8" s="29">
        <f t="shared" si="2"/>
        <v>0.375</v>
      </c>
      <c r="L8" s="30">
        <f t="shared" si="3"/>
        <v>0.4421632423948475</v>
      </c>
      <c r="M8" s="30">
        <f t="shared" si="4"/>
        <v>0.22108162119742375</v>
      </c>
      <c r="N8" s="27" t="s">
        <v>102</v>
      </c>
      <c r="O8" s="27" t="s">
        <v>27</v>
      </c>
    </row>
    <row r="9" spans="1:15" s="1" customFormat="1" ht="30" customHeight="1" x14ac:dyDescent="0.35">
      <c r="A9" s="25" t="s">
        <v>7</v>
      </c>
      <c r="B9" s="25" t="s">
        <v>26</v>
      </c>
      <c r="C9" s="25">
        <v>116</v>
      </c>
      <c r="D9" s="26">
        <v>14787371</v>
      </c>
      <c r="E9" s="25">
        <v>6</v>
      </c>
      <c r="F9" s="25">
        <v>7</v>
      </c>
      <c r="G9" s="25">
        <v>5</v>
      </c>
      <c r="H9" s="25">
        <v>3</v>
      </c>
      <c r="I9" s="26">
        <f t="shared" si="0"/>
        <v>127477.33620689655</v>
      </c>
      <c r="J9" s="29">
        <f t="shared" si="1"/>
        <v>0.46153846153846156</v>
      </c>
      <c r="K9" s="29">
        <f t="shared" si="2"/>
        <v>0.625</v>
      </c>
      <c r="L9" s="30">
        <f t="shared" si="3"/>
        <v>0.40575163766432853</v>
      </c>
      <c r="M9" s="30">
        <f t="shared" si="4"/>
        <v>0.3381263647202738</v>
      </c>
      <c r="N9" s="27" t="s">
        <v>102</v>
      </c>
      <c r="O9" s="27" t="s">
        <v>27</v>
      </c>
    </row>
    <row r="10" spans="1:15" s="1" customFormat="1" ht="30" customHeight="1" x14ac:dyDescent="0.35">
      <c r="A10" s="25" t="s">
        <v>8</v>
      </c>
      <c r="B10" s="25" t="s">
        <v>28</v>
      </c>
      <c r="C10" s="25">
        <v>142</v>
      </c>
      <c r="D10" s="26">
        <v>14846554</v>
      </c>
      <c r="E10" s="25">
        <v>6</v>
      </c>
      <c r="F10" s="25">
        <v>7</v>
      </c>
      <c r="G10" s="25">
        <v>3</v>
      </c>
      <c r="H10" s="25">
        <v>5</v>
      </c>
      <c r="I10" s="26">
        <f t="shared" si="0"/>
        <v>104553.19718309859</v>
      </c>
      <c r="J10" s="29">
        <f t="shared" si="1"/>
        <v>0.46153846153846156</v>
      </c>
      <c r="K10" s="29">
        <f t="shared" si="2"/>
        <v>0.375</v>
      </c>
      <c r="L10" s="30">
        <f t="shared" si="3"/>
        <v>0.40413418494284936</v>
      </c>
      <c r="M10" s="30">
        <f t="shared" si="4"/>
        <v>0.20206709247142468</v>
      </c>
      <c r="N10" s="27" t="s">
        <v>102</v>
      </c>
      <c r="O10" s="27" t="s">
        <v>27</v>
      </c>
    </row>
    <row r="11" spans="1:15" s="1" customFormat="1" ht="30" customHeight="1" x14ac:dyDescent="0.35">
      <c r="A11" s="25" t="s">
        <v>138</v>
      </c>
      <c r="B11" s="25" t="s">
        <v>28</v>
      </c>
      <c r="C11" s="25">
        <v>117</v>
      </c>
      <c r="D11" s="26">
        <v>7772886</v>
      </c>
      <c r="E11" s="25">
        <v>2</v>
      </c>
      <c r="F11" s="25">
        <v>10</v>
      </c>
      <c r="G11" s="25">
        <v>0</v>
      </c>
      <c r="H11" s="25">
        <v>8</v>
      </c>
      <c r="I11" s="26">
        <f t="shared" si="0"/>
        <v>66434.923076923078</v>
      </c>
      <c r="J11" s="29">
        <f t="shared" si="1"/>
        <v>0.16666666666666666</v>
      </c>
      <c r="K11" s="29">
        <f t="shared" si="2"/>
        <v>0</v>
      </c>
      <c r="L11" s="30">
        <f t="shared" si="3"/>
        <v>0.25730468708791049</v>
      </c>
      <c r="M11" s="30">
        <f t="shared" si="4"/>
        <v>0</v>
      </c>
      <c r="N11" s="27" t="s">
        <v>102</v>
      </c>
      <c r="O11" s="27" t="s">
        <v>27</v>
      </c>
    </row>
    <row r="12" spans="1:15" s="1" customFormat="1" ht="30" customHeight="1" x14ac:dyDescent="0.35">
      <c r="A12" s="25" t="s">
        <v>29</v>
      </c>
      <c r="B12" s="25" t="s">
        <v>28</v>
      </c>
      <c r="C12" s="25">
        <v>120</v>
      </c>
      <c r="D12" s="26">
        <v>21622408</v>
      </c>
      <c r="E12" s="25">
        <v>8</v>
      </c>
      <c r="F12" s="25">
        <v>5</v>
      </c>
      <c r="G12" s="25">
        <v>4</v>
      </c>
      <c r="H12" s="25">
        <v>4</v>
      </c>
      <c r="I12" s="26">
        <f t="shared" si="0"/>
        <v>180186.73333333334</v>
      </c>
      <c r="J12" s="29">
        <f t="shared" si="1"/>
        <v>0.61538461538461542</v>
      </c>
      <c r="K12" s="29">
        <f t="shared" si="2"/>
        <v>0.5</v>
      </c>
      <c r="L12" s="30">
        <f t="shared" si="3"/>
        <v>0.36998654358940963</v>
      </c>
      <c r="M12" s="30">
        <f t="shared" si="4"/>
        <v>0.18499327179470482</v>
      </c>
      <c r="N12" s="27" t="s">
        <v>102</v>
      </c>
      <c r="O12" s="27" t="s">
        <v>27</v>
      </c>
    </row>
    <row r="13" spans="1:15" s="1" customFormat="1" ht="30" customHeight="1" x14ac:dyDescent="0.35">
      <c r="A13" s="25" t="s">
        <v>9</v>
      </c>
      <c r="B13" s="25" t="s">
        <v>28</v>
      </c>
      <c r="C13" s="25">
        <v>122</v>
      </c>
      <c r="D13" s="26">
        <v>13932976</v>
      </c>
      <c r="E13" s="25">
        <v>7</v>
      </c>
      <c r="F13" s="25">
        <v>6</v>
      </c>
      <c r="G13" s="25">
        <v>4</v>
      </c>
      <c r="H13" s="25">
        <v>4</v>
      </c>
      <c r="I13" s="26">
        <f t="shared" si="0"/>
        <v>114204.72131147541</v>
      </c>
      <c r="J13" s="29">
        <f t="shared" si="1"/>
        <v>0.53846153846153844</v>
      </c>
      <c r="K13" s="29">
        <f t="shared" si="2"/>
        <v>0.5</v>
      </c>
      <c r="L13" s="30">
        <f t="shared" si="3"/>
        <v>0.50240522914846042</v>
      </c>
      <c r="M13" s="30">
        <f t="shared" si="4"/>
        <v>0.28708870237054884</v>
      </c>
      <c r="N13" s="27" t="s">
        <v>102</v>
      </c>
      <c r="O13" s="27" t="s">
        <v>27</v>
      </c>
    </row>
    <row r="14" spans="1:15" s="1" customFormat="1" ht="30" customHeight="1" x14ac:dyDescent="0.35">
      <c r="A14" s="25" t="s">
        <v>10</v>
      </c>
      <c r="B14" s="25" t="s">
        <v>28</v>
      </c>
      <c r="C14" s="25">
        <v>113</v>
      </c>
      <c r="D14" s="26">
        <v>11033253</v>
      </c>
      <c r="E14" s="25">
        <v>3</v>
      </c>
      <c r="F14" s="25">
        <v>9</v>
      </c>
      <c r="G14" s="25">
        <v>2</v>
      </c>
      <c r="H14" s="25">
        <v>6</v>
      </c>
      <c r="I14" s="26">
        <f t="shared" si="0"/>
        <v>97639.407079646015</v>
      </c>
      <c r="J14" s="29">
        <f t="shared" si="1"/>
        <v>0.25</v>
      </c>
      <c r="K14" s="29">
        <f t="shared" si="2"/>
        <v>0.25</v>
      </c>
      <c r="L14" s="30">
        <f t="shared" si="3"/>
        <v>0.27190530299631488</v>
      </c>
      <c r="M14" s="30">
        <f t="shared" si="4"/>
        <v>0.18127020199754323</v>
      </c>
      <c r="N14" s="27" t="s">
        <v>102</v>
      </c>
      <c r="O14" s="27" t="s">
        <v>27</v>
      </c>
    </row>
    <row r="15" spans="1:15" s="1" customFormat="1" ht="30" customHeight="1" x14ac:dyDescent="0.35">
      <c r="A15" s="25" t="s">
        <v>11</v>
      </c>
      <c r="B15" s="25" t="s">
        <v>28</v>
      </c>
      <c r="C15" s="25">
        <v>129</v>
      </c>
      <c r="D15" s="31">
        <v>10281345</v>
      </c>
      <c r="E15" s="25">
        <v>11</v>
      </c>
      <c r="F15" s="25">
        <v>3</v>
      </c>
      <c r="G15" s="25">
        <v>7</v>
      </c>
      <c r="H15" s="25">
        <v>1</v>
      </c>
      <c r="I15" s="26">
        <f t="shared" si="0"/>
        <v>79700.348837209298</v>
      </c>
      <c r="J15" s="29">
        <f t="shared" si="1"/>
        <v>0.7857142857142857</v>
      </c>
      <c r="K15" s="29">
        <f t="shared" si="2"/>
        <v>0.875</v>
      </c>
      <c r="L15" s="30">
        <f t="shared" si="3"/>
        <v>1.0698989285934866</v>
      </c>
      <c r="M15" s="30">
        <f t="shared" si="4"/>
        <v>0.68084477274130961</v>
      </c>
      <c r="N15" s="27" t="s">
        <v>102</v>
      </c>
      <c r="O15" s="27" t="s">
        <v>27</v>
      </c>
    </row>
    <row r="16" spans="1:15" ht="30" customHeight="1" x14ac:dyDescent="0.35"/>
    <row r="17" ht="30" customHeight="1" x14ac:dyDescent="0.35"/>
    <row r="18" ht="30" customHeight="1" x14ac:dyDescent="0.35"/>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FEDE-BF05-4149-82E9-2E131272D2B3}">
  <dimension ref="A1:J42"/>
  <sheetViews>
    <sheetView topLeftCell="D1" zoomScale="64" workbookViewId="0">
      <selection activeCell="J7" sqref="J7"/>
    </sheetView>
  </sheetViews>
  <sheetFormatPr defaultRowHeight="14.5" x14ac:dyDescent="0.35"/>
  <cols>
    <col min="1" max="6" width="31.08984375" customWidth="1"/>
    <col min="7" max="8" width="30.6328125" customWidth="1"/>
    <col min="9" max="10" width="35.6328125" customWidth="1"/>
    <col min="11" max="12" width="20.6328125" customWidth="1"/>
  </cols>
  <sheetData>
    <row r="1" spans="1:10" ht="25" customHeight="1" x14ac:dyDescent="0.35">
      <c r="A1" s="15" t="s">
        <v>32</v>
      </c>
      <c r="B1" s="21" t="s">
        <v>33</v>
      </c>
      <c r="C1" s="21" t="s">
        <v>34</v>
      </c>
      <c r="D1" s="21" t="s">
        <v>35</v>
      </c>
      <c r="E1" s="21" t="s">
        <v>36</v>
      </c>
      <c r="F1" s="21" t="s">
        <v>37</v>
      </c>
      <c r="G1" s="21" t="s">
        <v>38</v>
      </c>
      <c r="J1" s="7" t="s">
        <v>53</v>
      </c>
    </row>
    <row r="2" spans="1:10" ht="25" customHeight="1" x14ac:dyDescent="0.35">
      <c r="A2" s="16" t="s">
        <v>13</v>
      </c>
      <c r="B2" s="23">
        <f>AVERAGE(Data!D2:D15)</f>
        <v>13576725.142857144</v>
      </c>
      <c r="C2" s="23">
        <f>MEDIAN(Data!D2:D15)</f>
        <v>13429315</v>
      </c>
      <c r="D2" s="23">
        <f>MIN(Data!D2:D15)</f>
        <v>7772886</v>
      </c>
      <c r="E2" s="24">
        <f>MAX(Data!D2:D15)</f>
        <v>21622408</v>
      </c>
      <c r="F2" s="23">
        <f>Data!D7</f>
        <v>16863958</v>
      </c>
      <c r="G2" s="20" t="str">
        <f>_xlfn.RANK.EQ(Data!D7,Data!D2:D15)&amp;"/14"</f>
        <v>3/14</v>
      </c>
      <c r="I2" t="s">
        <v>54</v>
      </c>
      <c r="J2" s="8">
        <f>CORREL(Data!D2:D15,Data!J2:J15)</f>
        <v>0.50643868946458692</v>
      </c>
    </row>
    <row r="3" spans="1:10" ht="25" customHeight="1" x14ac:dyDescent="0.35">
      <c r="A3" s="16" t="s">
        <v>21</v>
      </c>
      <c r="B3" s="23">
        <f>AVERAGE(Data!I2:I15)</f>
        <v>109165.6356858494</v>
      </c>
      <c r="C3" s="23">
        <f>MEDIAN(Data!I2:I15)</f>
        <v>106739.6354767952</v>
      </c>
      <c r="D3" s="24">
        <f>MIN(Data!I2:I15)</f>
        <v>66434.923076923078</v>
      </c>
      <c r="E3" s="23">
        <f>MAX(Data!I2:I15)</f>
        <v>180186.73333333334</v>
      </c>
      <c r="F3" s="23">
        <f>Data!I7</f>
        <v>139371.55371900825</v>
      </c>
      <c r="G3" s="20" t="str">
        <f>_xlfn.RANK.EQ(Data!I7,Data!I2:I15)&amp;"/14"</f>
        <v>2/14</v>
      </c>
      <c r="I3" t="s">
        <v>55</v>
      </c>
      <c r="J3" s="8">
        <f>CORREL(Data!D2:D15,Data!K2:K15)</f>
        <v>0.40555342186858012</v>
      </c>
    </row>
    <row r="4" spans="1:10" ht="25" customHeight="1" x14ac:dyDescent="0.35">
      <c r="A4" s="16" t="s">
        <v>22</v>
      </c>
      <c r="B4" s="17">
        <f>AVERAGE(Data!J2:J15)</f>
        <v>0.52191261119832555</v>
      </c>
      <c r="C4" s="18">
        <f>MEDIAN(Data!J2:J15)</f>
        <v>0.5</v>
      </c>
      <c r="D4" s="18">
        <f>MIN(Data!J2:J15)</f>
        <v>0.16666666666666666</v>
      </c>
      <c r="E4" s="18">
        <f>MAX(Data!J2:J15)</f>
        <v>0.84615384615384615</v>
      </c>
      <c r="F4" s="18">
        <f>Data!J7</f>
        <v>0.84615384615384615</v>
      </c>
      <c r="G4" s="20" t="str">
        <f>_xlfn.RANK.EQ(Data!J7,Data!J2:J15)&amp;"/14"</f>
        <v>1/14</v>
      </c>
    </row>
    <row r="5" spans="1:10" ht="25" customHeight="1" x14ac:dyDescent="0.35">
      <c r="A5" s="16" t="s">
        <v>23</v>
      </c>
      <c r="B5" s="17">
        <f>AVERAGE(Data!K2:K15)</f>
        <v>0.5</v>
      </c>
      <c r="C5" s="18">
        <f>MEDIAN(Data!K2:K15)</f>
        <v>0.5</v>
      </c>
      <c r="D5" s="18">
        <f>MIN(Data!K2:K15)</f>
        <v>0</v>
      </c>
      <c r="E5" s="18">
        <f>MAX(Data!K2:K15)</f>
        <v>0.875</v>
      </c>
      <c r="F5" s="18">
        <f>Data!K7</f>
        <v>0.875</v>
      </c>
      <c r="G5" s="20" t="str">
        <f>_xlfn.RANK.EQ(Data!K7,Data!K2:K15)&amp;"/14"</f>
        <v>1/14</v>
      </c>
    </row>
    <row r="6" spans="1:10" ht="25" customHeight="1" x14ac:dyDescent="0.35">
      <c r="A6" s="16" t="s">
        <v>24</v>
      </c>
      <c r="B6" s="19">
        <f>AVERAGE(Data!L2:L15)</f>
        <v>0.51055415091032785</v>
      </c>
      <c r="C6" s="20">
        <f>MEDIAN(Data!L2:L15)</f>
        <v>0.48577119779523448</v>
      </c>
      <c r="D6" s="20">
        <f>MIN(Data!L2:L15)</f>
        <v>0.25730468708791049</v>
      </c>
      <c r="E6" s="20">
        <f>MAX(Data!L2:L15)</f>
        <v>1.0698989285934866</v>
      </c>
      <c r="F6" s="20">
        <f>Data!L7</f>
        <v>0.65227866435625614</v>
      </c>
      <c r="G6" s="20" t="str">
        <f>_xlfn.RANK.EQ(Data!L7,Data!L2:L15)&amp;"/14"</f>
        <v>3/14</v>
      </c>
    </row>
    <row r="7" spans="1:10" ht="25.5" customHeight="1" x14ac:dyDescent="0.35">
      <c r="A7" s="16" t="s">
        <v>39</v>
      </c>
      <c r="B7" s="20">
        <f>AVERAGE(Data!M2:M15)</f>
        <v>0.29385276566668495</v>
      </c>
      <c r="C7" s="20">
        <f>MEDIAN(Data!M2:M15)</f>
        <v>0.27716939094985915</v>
      </c>
      <c r="D7" s="20">
        <f>MIN(Data!M2:M15)</f>
        <v>0</v>
      </c>
      <c r="E7" s="20">
        <f>MAX(Data!M2:M15)</f>
        <v>0.68084477274130961</v>
      </c>
      <c r="F7" s="20">
        <f>Data!M7</f>
        <v>0.41508642277216296</v>
      </c>
      <c r="G7" s="20" t="str">
        <f>_xlfn.RANK.EQ(Data!M7,Data!M2:M15)&amp;"/14"</f>
        <v>3/14</v>
      </c>
    </row>
    <row r="8" spans="1:10" ht="25.5" customHeight="1" x14ac:dyDescent="0.35"/>
    <row r="9" spans="1:10" ht="25.5" customHeight="1" thickBot="1" x14ac:dyDescent="0.4"/>
    <row r="10" spans="1:10" ht="25.5" customHeight="1" thickTop="1" thickBot="1" x14ac:dyDescent="0.4">
      <c r="A10" s="39" t="s">
        <v>122</v>
      </c>
      <c r="B10" s="40"/>
      <c r="C10" s="40"/>
      <c r="D10" s="40"/>
      <c r="E10" s="40"/>
      <c r="F10" s="40"/>
      <c r="G10" s="41"/>
    </row>
    <row r="11" spans="1:10" ht="25.5" customHeight="1" thickTop="1" x14ac:dyDescent="0.35">
      <c r="A11" s="46" t="s">
        <v>124</v>
      </c>
      <c r="B11" s="46"/>
      <c r="C11" s="46"/>
    </row>
    <row r="12" spans="1:10" ht="25.5" customHeight="1" x14ac:dyDescent="0.35">
      <c r="A12" s="42" t="s">
        <v>123</v>
      </c>
      <c r="B12" s="42"/>
      <c r="C12" s="42"/>
      <c r="D12" s="42"/>
      <c r="E12" s="42"/>
      <c r="F12" s="42"/>
      <c r="G12" s="42"/>
    </row>
    <row r="13" spans="1:10" ht="25.5" customHeight="1" x14ac:dyDescent="0.35">
      <c r="A13" s="22"/>
      <c r="B13" s="22"/>
      <c r="C13" s="22"/>
      <c r="D13" s="22"/>
      <c r="E13" s="22"/>
      <c r="F13" s="22"/>
      <c r="G13" s="22"/>
    </row>
    <row r="14" spans="1:10" ht="25.5" customHeight="1" x14ac:dyDescent="0.35">
      <c r="A14" s="43" t="s">
        <v>125</v>
      </c>
      <c r="B14" s="43"/>
      <c r="C14" s="43"/>
    </row>
    <row r="15" spans="1:10" ht="28.5" customHeight="1" x14ac:dyDescent="0.35">
      <c r="A15" s="42" t="s">
        <v>134</v>
      </c>
      <c r="B15" s="42"/>
      <c r="C15" s="42"/>
      <c r="D15" s="42"/>
      <c r="E15" s="42"/>
      <c r="F15" s="42"/>
      <c r="G15" s="42"/>
    </row>
    <row r="16" spans="1:10" ht="25.5" customHeight="1" x14ac:dyDescent="0.35"/>
    <row r="17" spans="1:7" ht="25.5" customHeight="1" x14ac:dyDescent="0.35">
      <c r="A17" s="43" t="s">
        <v>126</v>
      </c>
      <c r="B17" s="43"/>
      <c r="C17" s="43"/>
    </row>
    <row r="18" spans="1:7" ht="25.5" customHeight="1" x14ac:dyDescent="0.35">
      <c r="A18" s="42" t="s">
        <v>127</v>
      </c>
      <c r="B18" s="42"/>
      <c r="C18" s="42"/>
      <c r="D18" s="42"/>
      <c r="E18" s="42"/>
      <c r="F18" s="42"/>
      <c r="G18" s="42"/>
    </row>
    <row r="19" spans="1:7" ht="25.5" customHeight="1" x14ac:dyDescent="0.35"/>
    <row r="20" spans="1:7" ht="25.5" customHeight="1" x14ac:dyDescent="0.35">
      <c r="A20" s="47" t="s">
        <v>128</v>
      </c>
      <c r="B20" s="47"/>
      <c r="C20" s="47"/>
    </row>
    <row r="21" spans="1:7" ht="25.5" customHeight="1" x14ac:dyDescent="0.35">
      <c r="A21" s="42" t="s">
        <v>129</v>
      </c>
      <c r="B21" s="42"/>
      <c r="C21" s="42"/>
      <c r="D21" s="42"/>
      <c r="E21" s="42"/>
      <c r="F21" s="42"/>
      <c r="G21" s="42"/>
    </row>
    <row r="22" spans="1:7" ht="25.5" customHeight="1" x14ac:dyDescent="0.35"/>
    <row r="23" spans="1:7" ht="25.5" customHeight="1" x14ac:dyDescent="0.35">
      <c r="A23" s="43" t="s">
        <v>130</v>
      </c>
      <c r="B23" s="43"/>
      <c r="C23" s="43"/>
    </row>
    <row r="24" spans="1:7" ht="25.5" customHeight="1" x14ac:dyDescent="0.35">
      <c r="A24" s="42" t="s">
        <v>131</v>
      </c>
      <c r="B24" s="42"/>
      <c r="C24" s="42"/>
      <c r="D24" s="42"/>
      <c r="E24" s="42"/>
      <c r="F24" s="42"/>
      <c r="G24" s="42"/>
    </row>
    <row r="25" spans="1:7" ht="25.5" customHeight="1" thickBot="1" x14ac:dyDescent="0.4"/>
    <row r="26" spans="1:7" ht="25.5" customHeight="1" thickTop="1" thickBot="1" x14ac:dyDescent="0.4">
      <c r="A26" s="44" t="s">
        <v>132</v>
      </c>
      <c r="B26" s="44"/>
      <c r="C26" s="44"/>
      <c r="D26" s="44"/>
      <c r="E26" s="44"/>
      <c r="F26" s="44"/>
      <c r="G26" s="44"/>
    </row>
    <row r="27" spans="1:7" ht="34" customHeight="1" thickTop="1" x14ac:dyDescent="0.35">
      <c r="A27" s="45" t="s">
        <v>133</v>
      </c>
      <c r="B27" s="45"/>
      <c r="C27" s="45"/>
      <c r="D27" s="45"/>
      <c r="E27" s="45"/>
      <c r="F27" s="45"/>
      <c r="G27" s="45"/>
    </row>
    <row r="28" spans="1:7" ht="25.5" customHeight="1" x14ac:dyDescent="0.35">
      <c r="A28" s="14"/>
      <c r="B28" s="14"/>
      <c r="C28" s="14"/>
      <c r="D28" s="14"/>
      <c r="E28" s="14"/>
      <c r="F28" s="14"/>
      <c r="G28" s="14"/>
    </row>
    <row r="29" spans="1:7" ht="25.5" customHeight="1" x14ac:dyDescent="0.35"/>
    <row r="30" spans="1:7" ht="25.5" customHeight="1" x14ac:dyDescent="0.35"/>
    <row r="31" spans="1:7" ht="25.5" customHeight="1" x14ac:dyDescent="0.35"/>
    <row r="32" spans="1:7" ht="25.5" customHeight="1" x14ac:dyDescent="0.35"/>
    <row r="33" ht="25.5" customHeight="1" x14ac:dyDescent="0.35"/>
    <row r="34" ht="25.5" customHeight="1" x14ac:dyDescent="0.35"/>
    <row r="35" ht="25.5" customHeight="1" x14ac:dyDescent="0.35"/>
    <row r="36" ht="25.5" customHeight="1" x14ac:dyDescent="0.35"/>
    <row r="37" ht="25.5" customHeight="1" x14ac:dyDescent="0.35"/>
    <row r="38" ht="25.5" customHeight="1" x14ac:dyDescent="0.35"/>
    <row r="39" ht="25.5" customHeight="1" x14ac:dyDescent="0.35"/>
    <row r="40" ht="25.5" customHeight="1" x14ac:dyDescent="0.35"/>
    <row r="41" ht="25.5" customHeight="1" x14ac:dyDescent="0.35"/>
    <row r="42" ht="25.5" customHeight="1" x14ac:dyDescent="0.35"/>
  </sheetData>
  <mergeCells count="13">
    <mergeCell ref="A27:G27"/>
    <mergeCell ref="A11:C11"/>
    <mergeCell ref="A17:C17"/>
    <mergeCell ref="A18:G18"/>
    <mergeCell ref="A20:C20"/>
    <mergeCell ref="A21:G21"/>
    <mergeCell ref="A23:C23"/>
    <mergeCell ref="A24:G24"/>
    <mergeCell ref="A10:G10"/>
    <mergeCell ref="A12:G12"/>
    <mergeCell ref="A14:C14"/>
    <mergeCell ref="A15:G15"/>
    <mergeCell ref="A26:G26"/>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19337-64B8-405C-8B0F-66B2065CD989}">
  <sheetPr>
    <pageSetUpPr fitToPage="1"/>
  </sheetPr>
  <dimension ref="BF1:BH47"/>
  <sheetViews>
    <sheetView showGridLines="0" showRowColHeaders="0" zoomScale="22" zoomScaleNormal="61" workbookViewId="0">
      <selection activeCell="AJ18" sqref="AJ18"/>
    </sheetView>
  </sheetViews>
  <sheetFormatPr defaultRowHeight="14.5" x14ac:dyDescent="0.35"/>
  <cols>
    <col min="4" max="4" width="8.7265625" customWidth="1"/>
    <col min="17" max="17" width="8.7265625" customWidth="1"/>
    <col min="34" max="34" width="8.7265625" customWidth="1"/>
    <col min="38" max="38" width="8.7265625" customWidth="1"/>
    <col min="60" max="60" width="14.1796875" bestFit="1" customWidth="1"/>
  </cols>
  <sheetData>
    <row r="1" spans="58:60" x14ac:dyDescent="0.35">
      <c r="BF1" s="1" t="s">
        <v>12</v>
      </c>
      <c r="BG1" s="3" t="s">
        <v>31</v>
      </c>
    </row>
    <row r="2" spans="58:60" x14ac:dyDescent="0.35">
      <c r="BF2" s="1" t="s">
        <v>40</v>
      </c>
      <c r="BG2" s="6">
        <f>Data!D11/1000000</f>
        <v>7.7728859999999997</v>
      </c>
      <c r="BH2" s="6">
        <v>7772886</v>
      </c>
    </row>
    <row r="3" spans="58:60" x14ac:dyDescent="0.35">
      <c r="BF3" s="1" t="s">
        <v>41</v>
      </c>
      <c r="BG3" s="6">
        <f>Data!D15/1000000</f>
        <v>10.281345</v>
      </c>
      <c r="BH3" s="2">
        <v>10281345</v>
      </c>
    </row>
    <row r="4" spans="58:60" x14ac:dyDescent="0.35">
      <c r="BF4" s="1" t="s">
        <v>52</v>
      </c>
      <c r="BG4" s="6">
        <f>Data!D14/1000000</f>
        <v>11.033253</v>
      </c>
      <c r="BH4" s="6">
        <v>11033253</v>
      </c>
    </row>
    <row r="5" spans="58:60" x14ac:dyDescent="0.35">
      <c r="BF5" s="1" t="s">
        <v>42</v>
      </c>
      <c r="BG5" s="6">
        <f>Data!D5/1000000</f>
        <v>11.225441</v>
      </c>
      <c r="BH5" s="6">
        <v>11225441</v>
      </c>
    </row>
    <row r="6" spans="58:60" x14ac:dyDescent="0.35">
      <c r="BF6" s="1" t="s">
        <v>43</v>
      </c>
      <c r="BG6" s="6">
        <f>Data!D3/1000000</f>
        <v>11.536628</v>
      </c>
      <c r="BH6" s="2">
        <v>11536628</v>
      </c>
    </row>
    <row r="7" spans="58:60" x14ac:dyDescent="0.35">
      <c r="BF7" s="1" t="s">
        <v>44</v>
      </c>
      <c r="BG7" s="6">
        <f>Data!D6/1000000</f>
        <v>12.260120000000001</v>
      </c>
      <c r="BH7" s="6">
        <v>12260120</v>
      </c>
    </row>
    <row r="8" spans="58:60" x14ac:dyDescent="0.35">
      <c r="BF8" s="1" t="s">
        <v>45</v>
      </c>
      <c r="BG8" s="6">
        <f>Data!D2/1000000</f>
        <v>13.288981</v>
      </c>
      <c r="BH8" s="6">
        <v>13288981</v>
      </c>
    </row>
    <row r="9" spans="58:60" x14ac:dyDescent="0.35">
      <c r="BF9" s="1" t="s">
        <v>46</v>
      </c>
      <c r="BG9" s="6">
        <f>Data!D8/1000000</f>
        <v>13.569649</v>
      </c>
      <c r="BH9" s="6">
        <v>13569649</v>
      </c>
    </row>
    <row r="10" spans="58:60" x14ac:dyDescent="0.35">
      <c r="BF10" s="1" t="s">
        <v>51</v>
      </c>
      <c r="BG10" s="6">
        <f>Data!D13/1000000</f>
        <v>13.932976</v>
      </c>
      <c r="BH10" s="6">
        <v>13932976</v>
      </c>
    </row>
    <row r="11" spans="58:60" x14ac:dyDescent="0.35">
      <c r="BF11" s="1" t="s">
        <v>47</v>
      </c>
      <c r="BG11" s="6">
        <f>Data!D9/1000000</f>
        <v>14.787371</v>
      </c>
      <c r="BH11" s="6">
        <v>14787371</v>
      </c>
    </row>
    <row r="12" spans="58:60" x14ac:dyDescent="0.35">
      <c r="BF12" s="1" t="s">
        <v>48</v>
      </c>
      <c r="BG12" s="6">
        <f>Data!D10/1000000</f>
        <v>14.846553999999999</v>
      </c>
      <c r="BH12" s="6">
        <v>14846554</v>
      </c>
    </row>
    <row r="13" spans="58:60" x14ac:dyDescent="0.35">
      <c r="BF13" s="1" t="s">
        <v>37</v>
      </c>
      <c r="BG13" s="6">
        <f>Data!D7/1000000</f>
        <v>16.863958</v>
      </c>
      <c r="BH13" s="3">
        <v>16863958</v>
      </c>
    </row>
    <row r="14" spans="58:60" x14ac:dyDescent="0.35">
      <c r="BF14" s="1" t="s">
        <v>49</v>
      </c>
      <c r="BG14" s="6">
        <f>Data!D4/1000000</f>
        <v>17.052582000000001</v>
      </c>
      <c r="BH14" s="6">
        <v>17052582</v>
      </c>
    </row>
    <row r="15" spans="58:60" x14ac:dyDescent="0.35">
      <c r="BF15" s="1" t="s">
        <v>50</v>
      </c>
      <c r="BG15" s="6">
        <f>Data!D12/1000000</f>
        <v>21.622408</v>
      </c>
      <c r="BH15" s="6">
        <v>21622408</v>
      </c>
    </row>
    <row r="16" spans="58:60" x14ac:dyDescent="0.35">
      <c r="BF16" s="1" t="s">
        <v>12</v>
      </c>
      <c r="BG16" s="3" t="s">
        <v>31</v>
      </c>
      <c r="BH16" s="5" t="s">
        <v>56</v>
      </c>
    </row>
    <row r="17" spans="58:60" x14ac:dyDescent="0.35">
      <c r="BF17" s="1" t="s">
        <v>40</v>
      </c>
      <c r="BG17" s="6">
        <f>Data!D11/1000000</f>
        <v>7.7728859999999997</v>
      </c>
      <c r="BH17" s="9">
        <f>Data!K11</f>
        <v>0</v>
      </c>
    </row>
    <row r="18" spans="58:60" x14ac:dyDescent="0.35">
      <c r="BF18" s="1" t="s">
        <v>41</v>
      </c>
      <c r="BG18" s="6">
        <f>Data!D15/1000000</f>
        <v>10.281345</v>
      </c>
      <c r="BH18" s="10">
        <f>Data!K15</f>
        <v>0.875</v>
      </c>
    </row>
    <row r="19" spans="58:60" x14ac:dyDescent="0.35">
      <c r="BF19" s="1" t="s">
        <v>52</v>
      </c>
      <c r="BG19" s="6">
        <f>Data!D14/1000000</f>
        <v>11.033253</v>
      </c>
      <c r="BH19" s="10">
        <f>Data!K14</f>
        <v>0.25</v>
      </c>
    </row>
    <row r="20" spans="58:60" x14ac:dyDescent="0.35">
      <c r="BF20" s="1" t="s">
        <v>42</v>
      </c>
      <c r="BG20" s="6">
        <f>Data!D5/1000000</f>
        <v>11.225441</v>
      </c>
      <c r="BH20" s="10">
        <f>Data!K5</f>
        <v>0.375</v>
      </c>
    </row>
    <row r="21" spans="58:60" x14ac:dyDescent="0.35">
      <c r="BF21" s="1" t="s">
        <v>43</v>
      </c>
      <c r="BG21" s="6">
        <f>Data!D3/1000000</f>
        <v>11.536628</v>
      </c>
      <c r="BH21" s="10">
        <f>Data!K3</f>
        <v>0.5</v>
      </c>
    </row>
    <row r="22" spans="58:60" x14ac:dyDescent="0.35">
      <c r="BF22" s="1" t="s">
        <v>44</v>
      </c>
      <c r="BG22" s="6">
        <f>Data!D6/1000000</f>
        <v>12.260120000000001</v>
      </c>
      <c r="BH22" s="10">
        <f>Data!K6</f>
        <v>0.375</v>
      </c>
    </row>
    <row r="23" spans="58:60" x14ac:dyDescent="0.35">
      <c r="BF23" s="1" t="s">
        <v>45</v>
      </c>
      <c r="BG23" s="6">
        <f>Data!D2/1000000</f>
        <v>13.288981</v>
      </c>
      <c r="BH23" s="10">
        <f>Data!K2</f>
        <v>0.75</v>
      </c>
    </row>
    <row r="24" spans="58:60" x14ac:dyDescent="0.35">
      <c r="BF24" s="1" t="s">
        <v>46</v>
      </c>
      <c r="BG24" s="6">
        <f>Data!D8/1000000</f>
        <v>13.569649</v>
      </c>
      <c r="BH24" s="10">
        <f>Data!K8</f>
        <v>0.375</v>
      </c>
    </row>
    <row r="25" spans="58:60" x14ac:dyDescent="0.35">
      <c r="BF25" s="1" t="s">
        <v>51</v>
      </c>
      <c r="BG25" s="6">
        <f>Data!D13/1000000</f>
        <v>13.932976</v>
      </c>
      <c r="BH25" s="10">
        <f>Data!K13</f>
        <v>0.5</v>
      </c>
    </row>
    <row r="26" spans="58:60" x14ac:dyDescent="0.35">
      <c r="BF26" s="1" t="s">
        <v>47</v>
      </c>
      <c r="BG26" s="6">
        <f>Data!D9/1000000</f>
        <v>14.787371</v>
      </c>
      <c r="BH26" s="10">
        <f>Data!K9</f>
        <v>0.625</v>
      </c>
    </row>
    <row r="27" spans="58:60" x14ac:dyDescent="0.35">
      <c r="BF27" s="1" t="s">
        <v>48</v>
      </c>
      <c r="BG27" s="6">
        <f>Data!D10/1000000</f>
        <v>14.846553999999999</v>
      </c>
      <c r="BH27" s="10">
        <f>Data!K10</f>
        <v>0.375</v>
      </c>
    </row>
    <row r="28" spans="58:60" x14ac:dyDescent="0.35">
      <c r="BF28" s="1" t="s">
        <v>37</v>
      </c>
      <c r="BG28" s="6">
        <f>Data!D7/1000000</f>
        <v>16.863958</v>
      </c>
      <c r="BH28" s="10">
        <f>Data!K7</f>
        <v>0.875</v>
      </c>
    </row>
    <row r="29" spans="58:60" x14ac:dyDescent="0.35">
      <c r="BF29" s="1" t="s">
        <v>49</v>
      </c>
      <c r="BG29" s="6">
        <f>Data!D4/1000000</f>
        <v>17.052582000000001</v>
      </c>
      <c r="BH29" s="10">
        <f>Data!K4</f>
        <v>0.625</v>
      </c>
    </row>
    <row r="30" spans="58:60" x14ac:dyDescent="0.35">
      <c r="BF30" s="1" t="s">
        <v>50</v>
      </c>
      <c r="BG30" s="6">
        <f>Data!D12/1000000</f>
        <v>21.622408</v>
      </c>
      <c r="BH30" s="10">
        <f>Data!K12</f>
        <v>0.5</v>
      </c>
    </row>
    <row r="31" spans="58:60" x14ac:dyDescent="0.35">
      <c r="BG31" s="1" t="s">
        <v>12</v>
      </c>
      <c r="BH31" t="s">
        <v>57</v>
      </c>
    </row>
    <row r="32" spans="58:60" x14ac:dyDescent="0.35">
      <c r="BG32" s="1" t="s">
        <v>40</v>
      </c>
      <c r="BH32" s="11">
        <f>Data!M11</f>
        <v>0</v>
      </c>
    </row>
    <row r="33" spans="59:60" x14ac:dyDescent="0.35">
      <c r="BG33" s="1" t="s">
        <v>52</v>
      </c>
      <c r="BH33" s="8">
        <f>Data!M14</f>
        <v>0.18127020199754323</v>
      </c>
    </row>
    <row r="34" spans="59:60" x14ac:dyDescent="0.35">
      <c r="BG34" s="1" t="s">
        <v>50</v>
      </c>
      <c r="BH34" s="8">
        <f>Data!M12</f>
        <v>0.18499327179470482</v>
      </c>
    </row>
    <row r="35" spans="59:60" x14ac:dyDescent="0.35">
      <c r="BG35" s="1" t="s">
        <v>48</v>
      </c>
      <c r="BH35" s="8">
        <f>Data!M10</f>
        <v>0.20206709247142468</v>
      </c>
    </row>
    <row r="36" spans="59:60" x14ac:dyDescent="0.35">
      <c r="BG36" s="1" t="s">
        <v>46</v>
      </c>
      <c r="BH36" s="8">
        <f>Data!M8</f>
        <v>0.22108162119742375</v>
      </c>
    </row>
    <row r="37" spans="59:60" x14ac:dyDescent="0.35">
      <c r="BG37" s="1" t="s">
        <v>44</v>
      </c>
      <c r="BH37" s="8">
        <f>Data!M6</f>
        <v>0.24469581048146347</v>
      </c>
    </row>
    <row r="38" spans="59:60" x14ac:dyDescent="0.35">
      <c r="BG38" s="1" t="s">
        <v>42</v>
      </c>
      <c r="BH38" s="8">
        <f>Data!M5</f>
        <v>0.26725007952916952</v>
      </c>
    </row>
    <row r="39" spans="59:60" x14ac:dyDescent="0.35">
      <c r="BG39" s="1" t="s">
        <v>51</v>
      </c>
      <c r="BH39" s="8">
        <f>Data!M13</f>
        <v>0.28708870237054884</v>
      </c>
    </row>
    <row r="40" spans="59:60" x14ac:dyDescent="0.35">
      <c r="BG40" s="1" t="s">
        <v>49</v>
      </c>
      <c r="BH40" s="8">
        <f>Data!M4</f>
        <v>0.29321072902625533</v>
      </c>
    </row>
    <row r="41" spans="59:60" x14ac:dyDescent="0.35">
      <c r="BG41" s="1" t="s">
        <v>47</v>
      </c>
      <c r="BH41" s="8">
        <f>Data!M9</f>
        <v>0.3381263647202738</v>
      </c>
    </row>
    <row r="42" spans="59:60" x14ac:dyDescent="0.35">
      <c r="BG42" s="1" t="s">
        <v>43</v>
      </c>
      <c r="BH42" s="8">
        <f>Data!M3</f>
        <v>0.34672176306629632</v>
      </c>
    </row>
    <row r="43" spans="59:60" x14ac:dyDescent="0.35">
      <c r="BG43" s="1" t="s">
        <v>37</v>
      </c>
      <c r="BH43" s="8">
        <f>Data!M7</f>
        <v>0.41508642277216296</v>
      </c>
    </row>
    <row r="44" spans="59:60" x14ac:dyDescent="0.35">
      <c r="BG44" s="1" t="s">
        <v>45</v>
      </c>
      <c r="BH44" s="8">
        <f>Data!M2</f>
        <v>0.45150188716501288</v>
      </c>
    </row>
    <row r="45" spans="59:60" x14ac:dyDescent="0.35">
      <c r="BG45" s="1" t="s">
        <v>41</v>
      </c>
      <c r="BH45" s="8">
        <f>Data!M15</f>
        <v>0.68084477274130961</v>
      </c>
    </row>
    <row r="46" spans="59:60" x14ac:dyDescent="0.35">
      <c r="BG46" s="3"/>
    </row>
    <row r="47" spans="59:60" x14ac:dyDescent="0.35">
      <c r="BG47" s="3"/>
    </row>
  </sheetData>
  <sortState xmlns:xlrd2="http://schemas.microsoft.com/office/spreadsheetml/2017/richdata2" ref="BG32:BH45">
    <sortCondition ref="BH32:BH45"/>
  </sortState>
  <printOptions horizontalCentered="1" verticalCentered="1"/>
  <pageMargins left="0.19685039370078741" right="0.19685039370078741" top="0.19685039370078741" bottom="0.19685039370078741" header="0.19685039370078741" footer="0.31496062992125984"/>
  <pageSetup paperSize="9" scale="4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535E1-2BCB-44C2-9813-80594AA253D6}">
  <sheetPr>
    <pageSetUpPr fitToPage="1"/>
  </sheetPr>
  <dimension ref="A1:G61"/>
  <sheetViews>
    <sheetView zoomScale="43" zoomScaleNormal="43" workbookViewId="0">
      <selection activeCell="AJ18" sqref="AJ18"/>
    </sheetView>
  </sheetViews>
  <sheetFormatPr defaultRowHeight="14.5" x14ac:dyDescent="0.35"/>
  <cols>
    <col min="1" max="36" width="30.6328125" customWidth="1"/>
  </cols>
  <sheetData>
    <row r="1" spans="1:7" ht="25" customHeight="1" x14ac:dyDescent="0.5">
      <c r="A1" s="54" t="s">
        <v>58</v>
      </c>
      <c r="B1" s="54"/>
      <c r="C1" s="54"/>
      <c r="D1" s="54"/>
      <c r="E1" s="12"/>
      <c r="F1" s="12"/>
      <c r="G1" s="12"/>
    </row>
    <row r="2" spans="1:7" ht="25" customHeight="1" x14ac:dyDescent="0.35"/>
    <row r="3" spans="1:7" ht="25" customHeight="1" x14ac:dyDescent="0.35">
      <c r="A3" s="52" t="s">
        <v>59</v>
      </c>
      <c r="B3" s="53"/>
      <c r="C3" s="53"/>
      <c r="D3" s="53"/>
    </row>
    <row r="4" spans="1:7" ht="25" customHeight="1" x14ac:dyDescent="0.35">
      <c r="A4" s="42" t="s">
        <v>60</v>
      </c>
      <c r="B4" s="42"/>
      <c r="C4" s="42"/>
      <c r="D4" s="42"/>
    </row>
    <row r="5" spans="1:7" ht="25" customHeight="1" x14ac:dyDescent="0.35">
      <c r="A5" s="42"/>
      <c r="B5" s="42"/>
      <c r="C5" s="42"/>
      <c r="D5" s="42"/>
    </row>
    <row r="6" spans="1:7" ht="25" customHeight="1" x14ac:dyDescent="0.35"/>
    <row r="7" spans="1:7" ht="25" customHeight="1" thickBot="1" x14ac:dyDescent="0.4">
      <c r="A7" s="52" t="s">
        <v>61</v>
      </c>
      <c r="B7" s="53"/>
      <c r="C7" s="53"/>
      <c r="D7" s="53"/>
    </row>
    <row r="8" spans="1:7" ht="25" customHeight="1" thickBot="1" x14ac:dyDescent="0.4">
      <c r="A8" s="56" t="s">
        <v>62</v>
      </c>
      <c r="B8" s="57"/>
      <c r="C8" s="56" t="s">
        <v>63</v>
      </c>
      <c r="D8" s="57"/>
    </row>
    <row r="9" spans="1:7" ht="25" customHeight="1" thickBot="1" x14ac:dyDescent="0.4">
      <c r="A9" s="56" t="s">
        <v>64</v>
      </c>
      <c r="B9" s="57"/>
      <c r="C9" s="56" t="s">
        <v>65</v>
      </c>
      <c r="D9" s="57"/>
    </row>
    <row r="10" spans="1:7" ht="25" customHeight="1" thickBot="1" x14ac:dyDescent="0.4">
      <c r="A10" s="56" t="s">
        <v>119</v>
      </c>
      <c r="B10" s="57"/>
      <c r="C10" s="56">
        <v>2023</v>
      </c>
      <c r="D10" s="57"/>
    </row>
    <row r="11" spans="1:7" ht="25" customHeight="1" thickBot="1" x14ac:dyDescent="0.4">
      <c r="A11" s="56" t="s">
        <v>66</v>
      </c>
      <c r="B11" s="57"/>
      <c r="C11" s="56" t="s">
        <v>67</v>
      </c>
      <c r="D11" s="57"/>
    </row>
    <row r="12" spans="1:7" ht="25" customHeight="1" thickBot="1" x14ac:dyDescent="0.4">
      <c r="A12" s="56" t="s">
        <v>68</v>
      </c>
      <c r="B12" s="57"/>
      <c r="C12" s="56" t="s">
        <v>69</v>
      </c>
      <c r="D12" s="57"/>
    </row>
    <row r="13" spans="1:7" ht="25" customHeight="1" thickBot="1" x14ac:dyDescent="0.4">
      <c r="A13" s="56" t="s">
        <v>70</v>
      </c>
      <c r="B13" s="57"/>
      <c r="C13" s="56" t="s">
        <v>71</v>
      </c>
      <c r="D13" s="57"/>
    </row>
    <row r="14" spans="1:7" ht="25" customHeight="1" x14ac:dyDescent="0.35">
      <c r="A14" s="55" t="s">
        <v>72</v>
      </c>
      <c r="B14" s="55"/>
      <c r="C14" s="55"/>
      <c r="D14" s="55"/>
    </row>
    <row r="15" spans="1:7" ht="25" customHeight="1" x14ac:dyDescent="0.35">
      <c r="A15" s="55"/>
      <c r="B15" s="55"/>
      <c r="C15" s="55"/>
      <c r="D15" s="55"/>
    </row>
    <row r="16" spans="1:7" ht="25" customHeight="1" x14ac:dyDescent="0.35"/>
    <row r="17" spans="1:5" ht="25" customHeight="1" thickBot="1" x14ac:dyDescent="0.4">
      <c r="A17" s="52" t="s">
        <v>73</v>
      </c>
      <c r="B17" s="53"/>
      <c r="C17" s="53"/>
      <c r="D17" s="53"/>
    </row>
    <row r="18" spans="1:5" ht="25" customHeight="1" thickBot="1" x14ac:dyDescent="0.4">
      <c r="A18" s="34" t="s">
        <v>74</v>
      </c>
      <c r="B18" s="48" t="s">
        <v>75</v>
      </c>
      <c r="C18" s="49"/>
      <c r="D18" s="34" t="s">
        <v>76</v>
      </c>
    </row>
    <row r="19" spans="1:5" ht="25" customHeight="1" thickBot="1" x14ac:dyDescent="0.4">
      <c r="A19" s="35" t="s">
        <v>30</v>
      </c>
      <c r="B19" s="50" t="s">
        <v>77</v>
      </c>
      <c r="C19" s="51"/>
      <c r="D19" s="35" t="s">
        <v>78</v>
      </c>
    </row>
    <row r="20" spans="1:5" ht="25" customHeight="1" thickBot="1" x14ac:dyDescent="0.4">
      <c r="A20" s="35" t="s">
        <v>13</v>
      </c>
      <c r="B20" s="50" t="s">
        <v>79</v>
      </c>
      <c r="C20" s="51"/>
      <c r="D20" s="35" t="s">
        <v>78</v>
      </c>
    </row>
    <row r="21" spans="1:5" ht="25" customHeight="1" thickBot="1" x14ac:dyDescent="0.4">
      <c r="A21" s="35" t="s">
        <v>80</v>
      </c>
      <c r="B21" s="50" t="s">
        <v>81</v>
      </c>
      <c r="C21" s="51"/>
      <c r="D21" s="35" t="s">
        <v>82</v>
      </c>
    </row>
    <row r="22" spans="1:5" ht="25" customHeight="1" thickBot="1" x14ac:dyDescent="0.4">
      <c r="A22" s="35" t="s">
        <v>83</v>
      </c>
      <c r="B22" s="50" t="s">
        <v>84</v>
      </c>
      <c r="C22" s="51"/>
      <c r="D22" s="35" t="s">
        <v>82</v>
      </c>
    </row>
    <row r="23" spans="1:5" ht="25" customHeight="1" x14ac:dyDescent="0.35"/>
    <row r="24" spans="1:5" ht="25" customHeight="1" thickBot="1" x14ac:dyDescent="0.4">
      <c r="A24" s="52" t="s">
        <v>85</v>
      </c>
      <c r="B24" s="53"/>
      <c r="C24" s="53"/>
      <c r="D24" s="53"/>
    </row>
    <row r="25" spans="1:5" ht="25" customHeight="1" thickBot="1" x14ac:dyDescent="0.4">
      <c r="A25" s="48" t="s">
        <v>32</v>
      </c>
      <c r="B25" s="49"/>
      <c r="C25" s="48" t="s">
        <v>86</v>
      </c>
      <c r="D25" s="49"/>
      <c r="E25" s="33"/>
    </row>
    <row r="26" spans="1:5" ht="25" customHeight="1" thickBot="1" x14ac:dyDescent="0.4">
      <c r="A26" s="63" t="s">
        <v>21</v>
      </c>
      <c r="B26" s="62"/>
      <c r="C26" s="63" t="s">
        <v>87</v>
      </c>
      <c r="D26" s="62"/>
    </row>
    <row r="27" spans="1:5" ht="25" customHeight="1" thickBot="1" x14ac:dyDescent="0.4">
      <c r="A27" s="63" t="s">
        <v>22</v>
      </c>
      <c r="B27" s="62"/>
      <c r="C27" s="63" t="s">
        <v>88</v>
      </c>
      <c r="D27" s="62"/>
    </row>
    <row r="28" spans="1:5" ht="25" customHeight="1" thickBot="1" x14ac:dyDescent="0.4">
      <c r="A28" s="63" t="s">
        <v>23</v>
      </c>
      <c r="B28" s="62"/>
      <c r="C28" s="63" t="s">
        <v>89</v>
      </c>
      <c r="D28" s="62"/>
    </row>
    <row r="29" spans="1:5" ht="25" customHeight="1" thickBot="1" x14ac:dyDescent="0.4">
      <c r="A29" s="63" t="s">
        <v>24</v>
      </c>
      <c r="B29" s="62"/>
      <c r="C29" s="63" t="s">
        <v>90</v>
      </c>
      <c r="D29" s="62"/>
    </row>
    <row r="30" spans="1:5" ht="25" customHeight="1" thickBot="1" x14ac:dyDescent="0.4">
      <c r="A30" s="63" t="s">
        <v>25</v>
      </c>
      <c r="B30" s="62"/>
      <c r="C30" s="63" t="s">
        <v>91</v>
      </c>
      <c r="D30" s="62"/>
    </row>
    <row r="31" spans="1:5" ht="25" customHeight="1" x14ac:dyDescent="0.35"/>
    <row r="32" spans="1:5" ht="25" customHeight="1" thickBot="1" x14ac:dyDescent="0.4">
      <c r="A32" s="52" t="s">
        <v>92</v>
      </c>
      <c r="B32" s="53"/>
      <c r="C32" s="53"/>
      <c r="D32" s="53"/>
    </row>
    <row r="33" spans="1:4" ht="25" customHeight="1" thickBot="1" x14ac:dyDescent="0.4">
      <c r="A33" s="58" t="s">
        <v>93</v>
      </c>
      <c r="B33" s="59"/>
      <c r="C33" s="58" t="s">
        <v>94</v>
      </c>
      <c r="D33" s="59"/>
    </row>
    <row r="34" spans="1:4" ht="25" customHeight="1" thickBot="1" x14ac:dyDescent="0.4">
      <c r="A34" s="56" t="s">
        <v>95</v>
      </c>
      <c r="B34" s="57"/>
      <c r="C34" s="61">
        <f>analysis!J3</f>
        <v>0.40555342186858012</v>
      </c>
      <c r="D34" s="62"/>
    </row>
    <row r="35" spans="1:4" ht="25" customHeight="1" thickBot="1" x14ac:dyDescent="0.4">
      <c r="A35" s="56" t="s">
        <v>118</v>
      </c>
      <c r="B35" s="57"/>
      <c r="C35" s="60">
        <f>C34^2</f>
        <v>0.16447357798931453</v>
      </c>
      <c r="D35" s="57"/>
    </row>
    <row r="36" spans="1:4" ht="25" customHeight="1" x14ac:dyDescent="0.35">
      <c r="A36" s="42" t="s">
        <v>96</v>
      </c>
      <c r="B36" s="42"/>
      <c r="C36" s="42"/>
      <c r="D36" s="42"/>
    </row>
    <row r="37" spans="1:4" ht="25" customHeight="1" x14ac:dyDescent="0.35">
      <c r="A37" s="42"/>
      <c r="B37" s="42"/>
      <c r="C37" s="42"/>
      <c r="D37" s="42"/>
    </row>
    <row r="38" spans="1:4" ht="25" customHeight="1" x14ac:dyDescent="0.35">
      <c r="A38" s="13"/>
      <c r="B38" s="13"/>
      <c r="C38" s="13"/>
    </row>
    <row r="39" spans="1:4" ht="25" customHeight="1" thickBot="1" x14ac:dyDescent="0.4">
      <c r="A39" s="52" t="s">
        <v>97</v>
      </c>
      <c r="B39" s="53"/>
      <c r="C39" s="53"/>
      <c r="D39" s="53"/>
    </row>
    <row r="40" spans="1:4" ht="35" customHeight="1" thickBot="1" x14ac:dyDescent="0.4">
      <c r="A40" s="36" t="s">
        <v>98</v>
      </c>
      <c r="B40" s="36" t="s">
        <v>76</v>
      </c>
      <c r="C40" s="36" t="s">
        <v>99</v>
      </c>
      <c r="D40" s="36" t="s">
        <v>100</v>
      </c>
    </row>
    <row r="41" spans="1:4" ht="35" customHeight="1" thickBot="1" x14ac:dyDescent="0.4">
      <c r="A41" s="35" t="s">
        <v>101</v>
      </c>
      <c r="B41" s="35" t="s">
        <v>102</v>
      </c>
      <c r="C41" s="35" t="s">
        <v>103</v>
      </c>
      <c r="D41" s="37" t="s">
        <v>120</v>
      </c>
    </row>
    <row r="42" spans="1:4" ht="35" customHeight="1" thickBot="1" x14ac:dyDescent="0.4">
      <c r="A42" s="35" t="s">
        <v>104</v>
      </c>
      <c r="B42" s="35" t="s">
        <v>105</v>
      </c>
      <c r="C42" s="35" t="s">
        <v>106</v>
      </c>
      <c r="D42" s="37" t="s">
        <v>121</v>
      </c>
    </row>
    <row r="43" spans="1:4" ht="35" customHeight="1" thickBot="1" x14ac:dyDescent="0.4">
      <c r="A43" s="35" t="s">
        <v>107</v>
      </c>
      <c r="B43" s="35" t="s">
        <v>108</v>
      </c>
      <c r="C43" s="35" t="s">
        <v>109</v>
      </c>
      <c r="D43" s="38" t="s">
        <v>203</v>
      </c>
    </row>
    <row r="44" spans="1:4" ht="25" customHeight="1" x14ac:dyDescent="0.35"/>
    <row r="45" spans="1:4" ht="25" customHeight="1" x14ac:dyDescent="0.35">
      <c r="A45" s="52" t="s">
        <v>110</v>
      </c>
      <c r="B45" s="53"/>
      <c r="C45" s="53"/>
      <c r="D45" s="53"/>
    </row>
    <row r="46" spans="1:4" ht="25" customHeight="1" x14ac:dyDescent="0.35">
      <c r="A46" s="42" t="s">
        <v>111</v>
      </c>
      <c r="B46" s="42"/>
      <c r="C46" s="42"/>
      <c r="D46" s="42"/>
    </row>
    <row r="47" spans="1:4" ht="27" customHeight="1" x14ac:dyDescent="0.35">
      <c r="A47" s="42" t="s">
        <v>141</v>
      </c>
      <c r="B47" s="42"/>
      <c r="C47" s="42"/>
      <c r="D47" s="42"/>
    </row>
    <row r="48" spans="1:4" ht="25" customHeight="1" x14ac:dyDescent="0.35">
      <c r="A48" s="42" t="s">
        <v>137</v>
      </c>
      <c r="B48" s="42"/>
      <c r="C48" s="42"/>
      <c r="D48" s="42"/>
    </row>
    <row r="49" spans="1:4" ht="25" customHeight="1" x14ac:dyDescent="0.35">
      <c r="A49" s="42" t="s">
        <v>112</v>
      </c>
      <c r="B49" s="42"/>
      <c r="C49" s="42"/>
      <c r="D49" s="42"/>
    </row>
    <row r="50" spans="1:4" ht="25" customHeight="1" x14ac:dyDescent="0.35">
      <c r="A50" s="42" t="s">
        <v>113</v>
      </c>
      <c r="B50" s="42"/>
      <c r="C50" s="42"/>
      <c r="D50" s="42"/>
    </row>
    <row r="51" spans="1:4" ht="25" customHeight="1" x14ac:dyDescent="0.35">
      <c r="A51" s="42" t="s">
        <v>136</v>
      </c>
      <c r="B51" s="42"/>
      <c r="C51" s="42"/>
      <c r="D51" s="42"/>
    </row>
    <row r="52" spans="1:4" ht="25" customHeight="1" x14ac:dyDescent="0.35">
      <c r="A52" s="42" t="s">
        <v>114</v>
      </c>
      <c r="B52" s="42"/>
      <c r="C52" s="42"/>
      <c r="D52" s="42"/>
    </row>
    <row r="53" spans="1:4" ht="25" customHeight="1" x14ac:dyDescent="0.35">
      <c r="A53" s="42" t="s">
        <v>115</v>
      </c>
      <c r="B53" s="42"/>
      <c r="C53" s="42"/>
      <c r="D53" s="42"/>
    </row>
    <row r="54" spans="1:4" ht="25" customHeight="1" x14ac:dyDescent="0.35">
      <c r="A54" s="42" t="s">
        <v>116</v>
      </c>
      <c r="B54" s="42"/>
      <c r="C54" s="42"/>
      <c r="D54" s="42"/>
    </row>
    <row r="55" spans="1:4" ht="28" customHeight="1" x14ac:dyDescent="0.35">
      <c r="A55" s="42" t="s">
        <v>135</v>
      </c>
      <c r="B55" s="42"/>
      <c r="C55" s="42"/>
      <c r="D55" s="42"/>
    </row>
    <row r="56" spans="1:4" ht="25" customHeight="1" x14ac:dyDescent="0.35"/>
    <row r="57" spans="1:4" ht="25" customHeight="1" x14ac:dyDescent="0.35">
      <c r="A57" s="52" t="s">
        <v>117</v>
      </c>
      <c r="B57" s="53"/>
      <c r="C57" s="53"/>
      <c r="D57" s="53"/>
    </row>
    <row r="58" spans="1:4" ht="25" customHeight="1" x14ac:dyDescent="0.35">
      <c r="A58" s="42" t="s">
        <v>142</v>
      </c>
      <c r="B58" s="42"/>
      <c r="C58" s="42"/>
      <c r="D58" s="42"/>
    </row>
    <row r="59" spans="1:4" ht="27" customHeight="1" x14ac:dyDescent="0.35">
      <c r="A59" s="42" t="s">
        <v>140</v>
      </c>
      <c r="B59" s="42"/>
      <c r="C59" s="42"/>
      <c r="D59" s="42"/>
    </row>
    <row r="60" spans="1:4" ht="30.5" customHeight="1" x14ac:dyDescent="0.35">
      <c r="A60" s="42" t="s">
        <v>139</v>
      </c>
      <c r="B60" s="42"/>
      <c r="C60" s="42"/>
      <c r="D60" s="42"/>
    </row>
    <row r="61" spans="1:4" ht="25" customHeight="1" x14ac:dyDescent="0.35">
      <c r="A61" s="14"/>
      <c r="B61" s="14"/>
      <c r="C61" s="14"/>
      <c r="D61" s="14"/>
    </row>
  </sheetData>
  <mergeCells count="60">
    <mergeCell ref="A29:B29"/>
    <mergeCell ref="A30:B30"/>
    <mergeCell ref="C26:D26"/>
    <mergeCell ref="C27:D27"/>
    <mergeCell ref="C28:D28"/>
    <mergeCell ref="C29:D29"/>
    <mergeCell ref="C30:D30"/>
    <mergeCell ref="C25:D25"/>
    <mergeCell ref="A25:B25"/>
    <mergeCell ref="A26:B26"/>
    <mergeCell ref="A27:B27"/>
    <mergeCell ref="A28:B28"/>
    <mergeCell ref="C33:D33"/>
    <mergeCell ref="C35:D35"/>
    <mergeCell ref="C34:D34"/>
    <mergeCell ref="A33:B33"/>
    <mergeCell ref="A34:B34"/>
    <mergeCell ref="A35:B35"/>
    <mergeCell ref="A11:B11"/>
    <mergeCell ref="A12:B12"/>
    <mergeCell ref="C12:D12"/>
    <mergeCell ref="C13:D13"/>
    <mergeCell ref="A13:B13"/>
    <mergeCell ref="A1:D1"/>
    <mergeCell ref="A4:D5"/>
    <mergeCell ref="A36:D37"/>
    <mergeCell ref="A14:D15"/>
    <mergeCell ref="A7:D7"/>
    <mergeCell ref="A3:D3"/>
    <mergeCell ref="A17:D17"/>
    <mergeCell ref="A24:D24"/>
    <mergeCell ref="A32:D32"/>
    <mergeCell ref="C8:D8"/>
    <mergeCell ref="A8:B8"/>
    <mergeCell ref="C9:D9"/>
    <mergeCell ref="A9:B9"/>
    <mergeCell ref="C10:D10"/>
    <mergeCell ref="A10:B10"/>
    <mergeCell ref="C11:D11"/>
    <mergeCell ref="A50:D50"/>
    <mergeCell ref="A49:D49"/>
    <mergeCell ref="A48:D48"/>
    <mergeCell ref="A46:D46"/>
    <mergeCell ref="A47:D47"/>
    <mergeCell ref="A58:D58"/>
    <mergeCell ref="A59:D59"/>
    <mergeCell ref="A60:D60"/>
    <mergeCell ref="B18:C18"/>
    <mergeCell ref="B19:C19"/>
    <mergeCell ref="B20:C20"/>
    <mergeCell ref="B21:C21"/>
    <mergeCell ref="B22:C22"/>
    <mergeCell ref="A57:D57"/>
    <mergeCell ref="A54:D54"/>
    <mergeCell ref="A53:D53"/>
    <mergeCell ref="A52:D52"/>
    <mergeCell ref="A51:D51"/>
    <mergeCell ref="A55:D55"/>
    <mergeCell ref="A39:D39"/>
    <mergeCell ref="A45:D45"/>
  </mergeCells>
  <hyperlinks>
    <hyperlink ref="D41" r:id="rId1" xr:uid="{7203A20F-3778-4B10-8D14-C9ECAA3041FC}"/>
    <hyperlink ref="D42" r:id="rId2" xr:uid="{4E8479C5-0664-49C5-8ACA-DA2804CAB987}"/>
  </hyperlinks>
  <printOptions horizontalCentered="1"/>
  <pageMargins left="0.19685039370078741" right="0.19685039370078741" top="0.11811023622047245" bottom="0.11811023622047245" header="0.31496062992125984" footer="0.31496062992125984"/>
  <pageSetup paperSize="9" scale="81" fitToHeight="0"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D32AE-E326-4FD3-97D0-1D3D335F0A47}">
  <dimension ref="A1:AV15"/>
  <sheetViews>
    <sheetView workbookViewId="0">
      <selection activeCell="C2" sqref="C2:C15"/>
    </sheetView>
  </sheetViews>
  <sheetFormatPr defaultRowHeight="14.5" x14ac:dyDescent="0.35"/>
  <sheetData>
    <row r="1" spans="1:48" x14ac:dyDescent="0.35">
      <c r="A1" t="s">
        <v>143</v>
      </c>
      <c r="B1" t="s">
        <v>144</v>
      </c>
      <c r="C1" t="s">
        <v>145</v>
      </c>
      <c r="D1" t="s">
        <v>146</v>
      </c>
      <c r="E1" t="s">
        <v>147</v>
      </c>
      <c r="F1" t="s">
        <v>148</v>
      </c>
      <c r="G1" t="s">
        <v>149</v>
      </c>
      <c r="H1" t="s">
        <v>150</v>
      </c>
      <c r="I1" t="s">
        <v>151</v>
      </c>
      <c r="J1" t="s">
        <v>152</v>
      </c>
      <c r="K1" t="s">
        <v>153</v>
      </c>
      <c r="L1" t="s">
        <v>154</v>
      </c>
      <c r="M1" t="s">
        <v>155</v>
      </c>
      <c r="N1" t="s">
        <v>156</v>
      </c>
      <c r="O1" t="s">
        <v>157</v>
      </c>
      <c r="P1" t="s">
        <v>158</v>
      </c>
      <c r="Q1" t="s">
        <v>159</v>
      </c>
      <c r="R1" t="s">
        <v>160</v>
      </c>
      <c r="S1" t="s">
        <v>161</v>
      </c>
      <c r="T1" t="s">
        <v>162</v>
      </c>
      <c r="U1" t="s">
        <v>163</v>
      </c>
      <c r="V1" t="s">
        <v>164</v>
      </c>
      <c r="W1" t="s">
        <v>165</v>
      </c>
      <c r="X1" t="s">
        <v>166</v>
      </c>
      <c r="Y1" t="s">
        <v>167</v>
      </c>
      <c r="Z1" t="s">
        <v>168</v>
      </c>
      <c r="AA1" t="s">
        <v>169</v>
      </c>
      <c r="AB1" t="s">
        <v>170</v>
      </c>
      <c r="AC1" t="s">
        <v>171</v>
      </c>
      <c r="AD1" t="s">
        <v>172</v>
      </c>
      <c r="AE1" t="s">
        <v>173</v>
      </c>
      <c r="AF1" t="s">
        <v>174</v>
      </c>
      <c r="AG1" t="s">
        <v>175</v>
      </c>
      <c r="AH1" t="s">
        <v>176</v>
      </c>
      <c r="AI1" t="s">
        <v>177</v>
      </c>
      <c r="AJ1" t="s">
        <v>178</v>
      </c>
      <c r="AK1" t="s">
        <v>179</v>
      </c>
      <c r="AL1" t="s">
        <v>180</v>
      </c>
      <c r="AM1" t="s">
        <v>181</v>
      </c>
      <c r="AN1" t="s">
        <v>182</v>
      </c>
      <c r="AO1" t="s">
        <v>183</v>
      </c>
      <c r="AP1" t="s">
        <v>184</v>
      </c>
      <c r="AQ1" t="s">
        <v>185</v>
      </c>
      <c r="AR1" t="s">
        <v>186</v>
      </c>
      <c r="AS1" t="s">
        <v>187</v>
      </c>
      <c r="AT1" t="s">
        <v>188</v>
      </c>
      <c r="AU1" t="s">
        <v>189</v>
      </c>
      <c r="AV1" t="s">
        <v>190</v>
      </c>
    </row>
    <row r="2" spans="1:48" x14ac:dyDescent="0.35">
      <c r="A2">
        <v>2024</v>
      </c>
      <c r="B2">
        <v>197869</v>
      </c>
      <c r="C2" s="32">
        <v>290600</v>
      </c>
      <c r="D2" t="s">
        <v>0</v>
      </c>
      <c r="E2" t="s">
        <v>191</v>
      </c>
      <c r="F2">
        <v>1</v>
      </c>
      <c r="H2">
        <v>1</v>
      </c>
      <c r="I2" t="s">
        <v>192</v>
      </c>
      <c r="J2">
        <v>8122</v>
      </c>
      <c r="K2">
        <v>9976</v>
      </c>
      <c r="L2">
        <v>18098</v>
      </c>
      <c r="M2">
        <v>7</v>
      </c>
      <c r="N2" t="s">
        <v>193</v>
      </c>
      <c r="O2">
        <v>122</v>
      </c>
      <c r="S2">
        <v>122</v>
      </c>
      <c r="T2">
        <v>0</v>
      </c>
      <c r="U2">
        <v>18944</v>
      </c>
      <c r="V2">
        <v>2311199</v>
      </c>
      <c r="W2">
        <v>0</v>
      </c>
      <c r="X2">
        <v>0</v>
      </c>
      <c r="Y2">
        <v>2311199</v>
      </c>
      <c r="AE2">
        <v>13288981</v>
      </c>
      <c r="AG2">
        <v>13288981</v>
      </c>
      <c r="AK2">
        <v>13288981</v>
      </c>
      <c r="AL2">
        <v>0</v>
      </c>
      <c r="AM2">
        <v>13288981</v>
      </c>
      <c r="AN2">
        <v>13288981</v>
      </c>
      <c r="AP2">
        <v>13288981</v>
      </c>
      <c r="AT2">
        <v>13288981</v>
      </c>
      <c r="AU2">
        <v>0</v>
      </c>
      <c r="AV2">
        <v>13288981</v>
      </c>
    </row>
    <row r="3" spans="1:48" x14ac:dyDescent="0.35">
      <c r="A3">
        <v>2024</v>
      </c>
      <c r="B3">
        <v>106458</v>
      </c>
      <c r="C3" s="32">
        <v>109000</v>
      </c>
      <c r="D3" t="s">
        <v>2</v>
      </c>
      <c r="E3" t="s">
        <v>194</v>
      </c>
      <c r="F3">
        <v>1</v>
      </c>
      <c r="H3">
        <v>1</v>
      </c>
      <c r="I3" t="s">
        <v>192</v>
      </c>
      <c r="J3">
        <v>2210</v>
      </c>
      <c r="K3">
        <v>3310</v>
      </c>
      <c r="L3">
        <v>5520</v>
      </c>
      <c r="M3">
        <v>7</v>
      </c>
      <c r="N3" t="s">
        <v>193</v>
      </c>
      <c r="O3">
        <v>153</v>
      </c>
      <c r="S3">
        <v>153</v>
      </c>
      <c r="T3">
        <v>0</v>
      </c>
      <c r="U3">
        <v>24612</v>
      </c>
      <c r="V3">
        <v>3765584</v>
      </c>
      <c r="W3">
        <v>0</v>
      </c>
      <c r="X3">
        <v>0</v>
      </c>
      <c r="Y3">
        <v>3765584</v>
      </c>
      <c r="AE3">
        <v>11536628</v>
      </c>
      <c r="AG3">
        <v>11536628</v>
      </c>
      <c r="AK3">
        <v>11536628</v>
      </c>
      <c r="AL3">
        <v>0</v>
      </c>
      <c r="AM3">
        <v>11536628</v>
      </c>
      <c r="AN3">
        <v>11536628</v>
      </c>
      <c r="AP3">
        <v>11536628</v>
      </c>
      <c r="AT3">
        <v>11536628</v>
      </c>
      <c r="AU3">
        <v>0</v>
      </c>
      <c r="AV3">
        <v>11536628</v>
      </c>
    </row>
    <row r="4" spans="1:48" x14ac:dyDescent="0.35">
      <c r="A4">
        <v>2024</v>
      </c>
      <c r="B4">
        <v>218724</v>
      </c>
      <c r="C4" s="32">
        <v>345100</v>
      </c>
      <c r="D4" t="s">
        <v>1</v>
      </c>
      <c r="E4" t="s">
        <v>195</v>
      </c>
      <c r="F4">
        <v>1</v>
      </c>
      <c r="H4">
        <v>1</v>
      </c>
      <c r="I4" t="s">
        <v>192</v>
      </c>
      <c r="J4">
        <v>4379</v>
      </c>
      <c r="K4">
        <v>5631</v>
      </c>
      <c r="L4">
        <v>10010</v>
      </c>
      <c r="M4">
        <v>7</v>
      </c>
      <c r="N4" t="s">
        <v>193</v>
      </c>
      <c r="O4">
        <v>123</v>
      </c>
      <c r="S4">
        <v>123</v>
      </c>
      <c r="T4">
        <v>0</v>
      </c>
      <c r="U4">
        <v>19073</v>
      </c>
      <c r="V4">
        <v>2346000</v>
      </c>
      <c r="W4">
        <v>0</v>
      </c>
      <c r="X4">
        <v>0</v>
      </c>
      <c r="Y4">
        <v>2346000</v>
      </c>
      <c r="AE4">
        <v>17052582</v>
      </c>
      <c r="AG4">
        <v>17052582</v>
      </c>
      <c r="AK4">
        <v>17052582</v>
      </c>
      <c r="AL4">
        <v>0</v>
      </c>
      <c r="AM4">
        <v>17052582</v>
      </c>
      <c r="AN4">
        <v>17052582</v>
      </c>
      <c r="AP4">
        <v>17052582</v>
      </c>
      <c r="AT4">
        <v>17052582</v>
      </c>
      <c r="AU4">
        <v>0</v>
      </c>
      <c r="AV4">
        <v>17052582</v>
      </c>
    </row>
    <row r="5" spans="1:48" x14ac:dyDescent="0.35">
      <c r="A5">
        <v>2024</v>
      </c>
      <c r="B5">
        <v>139931</v>
      </c>
      <c r="C5" s="32">
        <v>157200</v>
      </c>
      <c r="D5" t="s">
        <v>3</v>
      </c>
      <c r="E5" t="s">
        <v>196</v>
      </c>
      <c r="F5">
        <v>1</v>
      </c>
      <c r="H5">
        <v>1</v>
      </c>
      <c r="I5" t="s">
        <v>192</v>
      </c>
      <c r="J5">
        <v>8031</v>
      </c>
      <c r="K5">
        <v>10740</v>
      </c>
      <c r="L5">
        <v>18771</v>
      </c>
      <c r="M5">
        <v>7</v>
      </c>
      <c r="N5" t="s">
        <v>193</v>
      </c>
      <c r="O5">
        <v>146</v>
      </c>
      <c r="S5">
        <v>146</v>
      </c>
      <c r="T5">
        <v>0</v>
      </c>
      <c r="U5">
        <v>13477</v>
      </c>
      <c r="V5">
        <v>1967592</v>
      </c>
      <c r="W5">
        <v>0</v>
      </c>
      <c r="X5">
        <v>0</v>
      </c>
      <c r="Y5">
        <v>1967592</v>
      </c>
      <c r="AE5">
        <v>11225441</v>
      </c>
      <c r="AG5">
        <v>11225441</v>
      </c>
      <c r="AK5">
        <v>11225441</v>
      </c>
      <c r="AL5">
        <v>0</v>
      </c>
      <c r="AM5">
        <v>11225441</v>
      </c>
      <c r="AN5">
        <v>11225441</v>
      </c>
      <c r="AP5">
        <v>11225441</v>
      </c>
      <c r="AT5">
        <v>11225441</v>
      </c>
      <c r="AU5">
        <v>0</v>
      </c>
      <c r="AV5">
        <v>11225441</v>
      </c>
    </row>
    <row r="6" spans="1:48" x14ac:dyDescent="0.35">
      <c r="A6">
        <v>2024</v>
      </c>
      <c r="B6">
        <v>139940</v>
      </c>
      <c r="C6" s="32">
        <v>157400</v>
      </c>
      <c r="D6" t="s">
        <v>4</v>
      </c>
      <c r="E6" t="s">
        <v>196</v>
      </c>
      <c r="F6">
        <v>1</v>
      </c>
      <c r="H6">
        <v>1</v>
      </c>
      <c r="I6" t="s">
        <v>192</v>
      </c>
      <c r="J6">
        <v>8427</v>
      </c>
      <c r="K6">
        <v>11963</v>
      </c>
      <c r="L6">
        <v>20390</v>
      </c>
      <c r="M6">
        <v>7</v>
      </c>
      <c r="N6" t="s">
        <v>193</v>
      </c>
      <c r="O6">
        <v>118</v>
      </c>
      <c r="S6">
        <v>118</v>
      </c>
      <c r="T6">
        <v>0</v>
      </c>
      <c r="U6">
        <v>17574</v>
      </c>
      <c r="V6">
        <v>2073699</v>
      </c>
      <c r="W6">
        <v>0</v>
      </c>
      <c r="X6">
        <v>0</v>
      </c>
      <c r="Y6">
        <v>2073699</v>
      </c>
      <c r="AE6">
        <v>12260120</v>
      </c>
      <c r="AG6">
        <v>12260120</v>
      </c>
      <c r="AK6">
        <v>12260120</v>
      </c>
      <c r="AL6">
        <v>0</v>
      </c>
      <c r="AM6">
        <v>12260120</v>
      </c>
      <c r="AN6">
        <v>12260120</v>
      </c>
      <c r="AP6">
        <v>12260120</v>
      </c>
      <c r="AT6">
        <v>12260120</v>
      </c>
      <c r="AU6">
        <v>0</v>
      </c>
      <c r="AV6">
        <v>12260120</v>
      </c>
    </row>
    <row r="7" spans="1:48" x14ac:dyDescent="0.35">
      <c r="A7">
        <v>2024</v>
      </c>
      <c r="B7">
        <v>232423</v>
      </c>
      <c r="C7" s="32">
        <v>372100</v>
      </c>
      <c r="D7" t="s">
        <v>5</v>
      </c>
      <c r="E7" t="s">
        <v>197</v>
      </c>
      <c r="F7">
        <v>2</v>
      </c>
      <c r="H7">
        <v>1</v>
      </c>
      <c r="I7" t="s">
        <v>192</v>
      </c>
      <c r="J7">
        <v>8602</v>
      </c>
      <c r="K7">
        <v>11174</v>
      </c>
      <c r="L7">
        <v>19776</v>
      </c>
      <c r="M7">
        <v>7</v>
      </c>
      <c r="N7" t="s">
        <v>193</v>
      </c>
      <c r="O7">
        <v>121</v>
      </c>
      <c r="S7">
        <v>121</v>
      </c>
      <c r="T7">
        <v>0</v>
      </c>
      <c r="U7">
        <v>21974</v>
      </c>
      <c r="V7">
        <v>2658810</v>
      </c>
      <c r="W7">
        <v>0</v>
      </c>
      <c r="X7">
        <v>0</v>
      </c>
      <c r="Y7">
        <v>2658810</v>
      </c>
      <c r="AE7">
        <v>16863959</v>
      </c>
      <c r="AG7">
        <v>16863959</v>
      </c>
      <c r="AK7">
        <v>16863959</v>
      </c>
      <c r="AL7">
        <v>0</v>
      </c>
      <c r="AM7">
        <v>16863959</v>
      </c>
      <c r="AN7">
        <v>16863958</v>
      </c>
      <c r="AP7">
        <v>16863958</v>
      </c>
      <c r="AT7">
        <v>16863958</v>
      </c>
      <c r="AU7">
        <v>0</v>
      </c>
      <c r="AV7">
        <v>16863958</v>
      </c>
    </row>
    <row r="8" spans="1:48" x14ac:dyDescent="0.35">
      <c r="A8">
        <v>2024</v>
      </c>
      <c r="B8">
        <v>237525</v>
      </c>
      <c r="C8" s="32">
        <v>381500</v>
      </c>
      <c r="D8" t="s">
        <v>6</v>
      </c>
      <c r="E8" t="s">
        <v>198</v>
      </c>
      <c r="F8">
        <v>1</v>
      </c>
      <c r="H8">
        <v>1</v>
      </c>
      <c r="I8" t="s">
        <v>192</v>
      </c>
      <c r="J8">
        <v>2941</v>
      </c>
      <c r="K8">
        <v>3813</v>
      </c>
      <c r="L8">
        <v>6754</v>
      </c>
      <c r="M8">
        <v>7</v>
      </c>
      <c r="N8" t="s">
        <v>193</v>
      </c>
      <c r="O8">
        <v>118</v>
      </c>
      <c r="S8">
        <v>118</v>
      </c>
      <c r="T8">
        <v>0</v>
      </c>
      <c r="U8">
        <v>30252</v>
      </c>
      <c r="V8">
        <v>3569751</v>
      </c>
      <c r="W8">
        <v>0</v>
      </c>
      <c r="X8">
        <v>0</v>
      </c>
      <c r="Y8">
        <v>3569751</v>
      </c>
      <c r="AE8">
        <v>13569649</v>
      </c>
      <c r="AG8">
        <v>13569649</v>
      </c>
      <c r="AK8">
        <v>13569649</v>
      </c>
      <c r="AL8">
        <v>0</v>
      </c>
      <c r="AM8">
        <v>13569649</v>
      </c>
      <c r="AN8">
        <v>13569649</v>
      </c>
      <c r="AP8">
        <v>13569649</v>
      </c>
      <c r="AT8">
        <v>13569649</v>
      </c>
      <c r="AU8">
        <v>0</v>
      </c>
      <c r="AV8">
        <v>13569649</v>
      </c>
    </row>
    <row r="9" spans="1:48" x14ac:dyDescent="0.35">
      <c r="A9">
        <v>2024</v>
      </c>
      <c r="B9">
        <v>232982</v>
      </c>
      <c r="C9" s="32">
        <v>372800</v>
      </c>
      <c r="D9" t="s">
        <v>7</v>
      </c>
      <c r="E9" t="s">
        <v>197</v>
      </c>
      <c r="F9">
        <v>1</v>
      </c>
      <c r="H9">
        <v>1</v>
      </c>
      <c r="I9" t="s">
        <v>192</v>
      </c>
      <c r="J9">
        <v>6238</v>
      </c>
      <c r="K9">
        <v>7336</v>
      </c>
      <c r="L9">
        <v>13574</v>
      </c>
      <c r="M9">
        <v>7</v>
      </c>
      <c r="N9" t="s">
        <v>193</v>
      </c>
      <c r="O9">
        <v>116</v>
      </c>
      <c r="S9">
        <v>116</v>
      </c>
      <c r="T9">
        <v>0</v>
      </c>
      <c r="U9">
        <v>30610</v>
      </c>
      <c r="V9">
        <v>3550798</v>
      </c>
      <c r="W9">
        <v>0</v>
      </c>
      <c r="X9">
        <v>0</v>
      </c>
      <c r="Y9">
        <v>3550798</v>
      </c>
      <c r="AE9">
        <v>14787371</v>
      </c>
      <c r="AG9">
        <v>14787371</v>
      </c>
      <c r="AK9">
        <v>14787371</v>
      </c>
      <c r="AL9">
        <v>0</v>
      </c>
      <c r="AM9">
        <v>14787371</v>
      </c>
      <c r="AN9">
        <v>14787371</v>
      </c>
      <c r="AP9">
        <v>14787371</v>
      </c>
      <c r="AT9">
        <v>14787371</v>
      </c>
      <c r="AU9">
        <v>0</v>
      </c>
      <c r="AV9">
        <v>14787371</v>
      </c>
    </row>
    <row r="10" spans="1:48" x14ac:dyDescent="0.35">
      <c r="A10">
        <v>2024</v>
      </c>
      <c r="B10">
        <v>228459</v>
      </c>
      <c r="C10" s="32">
        <v>361500</v>
      </c>
      <c r="D10" t="s">
        <v>29</v>
      </c>
      <c r="E10" t="s">
        <v>199</v>
      </c>
      <c r="F10">
        <v>1</v>
      </c>
      <c r="H10">
        <v>1</v>
      </c>
      <c r="I10" t="s">
        <v>192</v>
      </c>
      <c r="J10">
        <v>12424</v>
      </c>
      <c r="K10">
        <v>18614</v>
      </c>
      <c r="L10">
        <v>31038</v>
      </c>
      <c r="M10">
        <v>7</v>
      </c>
      <c r="N10" t="s">
        <v>193</v>
      </c>
      <c r="O10">
        <v>120</v>
      </c>
      <c r="S10">
        <v>120</v>
      </c>
      <c r="T10">
        <v>0</v>
      </c>
      <c r="U10">
        <v>37716</v>
      </c>
      <c r="V10">
        <v>4525910</v>
      </c>
      <c r="W10">
        <v>0</v>
      </c>
      <c r="X10">
        <v>0</v>
      </c>
      <c r="Y10">
        <v>4525910</v>
      </c>
      <c r="AE10">
        <v>21622408</v>
      </c>
      <c r="AG10">
        <v>21622408</v>
      </c>
      <c r="AK10">
        <v>21622408</v>
      </c>
      <c r="AL10">
        <v>0</v>
      </c>
      <c r="AM10">
        <v>21622408</v>
      </c>
      <c r="AN10">
        <v>21622408</v>
      </c>
      <c r="AP10">
        <v>21622408</v>
      </c>
      <c r="AT10">
        <v>21622408</v>
      </c>
      <c r="AU10">
        <v>0</v>
      </c>
      <c r="AV10">
        <v>21622408</v>
      </c>
    </row>
    <row r="11" spans="1:48" x14ac:dyDescent="0.35">
      <c r="A11">
        <v>2024</v>
      </c>
      <c r="B11">
        <v>102368</v>
      </c>
      <c r="C11" s="32">
        <v>104700</v>
      </c>
      <c r="D11" t="s">
        <v>11</v>
      </c>
      <c r="E11" t="s">
        <v>200</v>
      </c>
      <c r="F11">
        <v>1</v>
      </c>
      <c r="H11">
        <v>1</v>
      </c>
      <c r="I11" t="s">
        <v>192</v>
      </c>
      <c r="J11">
        <v>2568</v>
      </c>
      <c r="K11">
        <v>4444</v>
      </c>
      <c r="L11">
        <v>7012</v>
      </c>
      <c r="M11">
        <v>7</v>
      </c>
      <c r="N11" t="s">
        <v>193</v>
      </c>
      <c r="O11">
        <v>129</v>
      </c>
      <c r="S11">
        <v>129</v>
      </c>
      <c r="T11">
        <v>0</v>
      </c>
      <c r="U11">
        <v>9868</v>
      </c>
      <c r="V11">
        <v>1273008</v>
      </c>
      <c r="W11">
        <v>0</v>
      </c>
      <c r="X11">
        <v>0</v>
      </c>
      <c r="Y11">
        <v>1273008</v>
      </c>
      <c r="AE11">
        <v>12597439</v>
      </c>
      <c r="AG11">
        <v>12597439</v>
      </c>
      <c r="AK11">
        <v>12597439</v>
      </c>
      <c r="AL11">
        <v>0</v>
      </c>
      <c r="AM11">
        <v>12597439</v>
      </c>
      <c r="AN11">
        <v>10281345</v>
      </c>
      <c r="AP11">
        <v>10281345</v>
      </c>
      <c r="AT11">
        <v>10281345</v>
      </c>
      <c r="AU11">
        <v>0</v>
      </c>
      <c r="AV11">
        <v>10281345</v>
      </c>
    </row>
    <row r="12" spans="1:48" x14ac:dyDescent="0.35">
      <c r="A12">
        <v>2024</v>
      </c>
      <c r="B12">
        <v>160658</v>
      </c>
      <c r="C12" s="32">
        <v>203100</v>
      </c>
      <c r="D12" t="s">
        <v>8</v>
      </c>
      <c r="E12" t="s">
        <v>201</v>
      </c>
      <c r="F12">
        <v>1</v>
      </c>
      <c r="H12">
        <v>1</v>
      </c>
      <c r="I12" t="s">
        <v>192</v>
      </c>
      <c r="J12">
        <v>4676</v>
      </c>
      <c r="K12">
        <v>6570</v>
      </c>
      <c r="L12">
        <v>11246</v>
      </c>
      <c r="M12">
        <v>7</v>
      </c>
      <c r="N12" t="s">
        <v>193</v>
      </c>
      <c r="O12">
        <v>142</v>
      </c>
      <c r="S12">
        <v>142</v>
      </c>
      <c r="T12">
        <v>0</v>
      </c>
      <c r="U12">
        <v>21786</v>
      </c>
      <c r="V12">
        <v>3093613</v>
      </c>
      <c r="W12">
        <v>0</v>
      </c>
      <c r="X12">
        <v>0</v>
      </c>
      <c r="Y12">
        <v>3093613</v>
      </c>
      <c r="AE12">
        <v>14846554</v>
      </c>
      <c r="AG12">
        <v>14846554</v>
      </c>
      <c r="AK12">
        <v>14846554</v>
      </c>
      <c r="AL12">
        <v>0</v>
      </c>
      <c r="AM12">
        <v>14846554</v>
      </c>
      <c r="AN12">
        <v>14846554</v>
      </c>
      <c r="AP12">
        <v>14846554</v>
      </c>
      <c r="AT12">
        <v>14846554</v>
      </c>
      <c r="AU12">
        <v>0</v>
      </c>
      <c r="AV12">
        <v>14846554</v>
      </c>
    </row>
    <row r="13" spans="1:48" x14ac:dyDescent="0.35">
      <c r="A13">
        <v>2024</v>
      </c>
      <c r="B13">
        <v>159993</v>
      </c>
      <c r="C13" s="32">
        <v>202000</v>
      </c>
      <c r="D13" t="s">
        <v>138</v>
      </c>
      <c r="E13" t="s">
        <v>201</v>
      </c>
      <c r="F13">
        <v>1</v>
      </c>
      <c r="H13">
        <v>1</v>
      </c>
      <c r="I13" t="s">
        <v>192</v>
      </c>
      <c r="J13">
        <v>1563</v>
      </c>
      <c r="K13">
        <v>2557</v>
      </c>
      <c r="L13">
        <v>4120</v>
      </c>
      <c r="M13">
        <v>7</v>
      </c>
      <c r="N13" t="s">
        <v>193</v>
      </c>
      <c r="O13">
        <v>117</v>
      </c>
      <c r="S13">
        <v>117</v>
      </c>
      <c r="T13">
        <v>0</v>
      </c>
      <c r="U13">
        <v>13029</v>
      </c>
      <c r="V13">
        <v>1524451</v>
      </c>
      <c r="W13">
        <v>0</v>
      </c>
      <c r="X13">
        <v>0</v>
      </c>
      <c r="Y13">
        <v>1524451</v>
      </c>
      <c r="AE13">
        <v>7772886</v>
      </c>
      <c r="AG13">
        <v>7772886</v>
      </c>
      <c r="AK13">
        <v>7772886</v>
      </c>
      <c r="AL13">
        <v>0</v>
      </c>
      <c r="AM13">
        <v>7772886</v>
      </c>
      <c r="AN13">
        <v>7772886</v>
      </c>
      <c r="AP13">
        <v>7772886</v>
      </c>
      <c r="AT13">
        <v>7772886</v>
      </c>
      <c r="AU13">
        <v>0</v>
      </c>
      <c r="AV13">
        <v>7772886</v>
      </c>
    </row>
    <row r="14" spans="1:48" x14ac:dyDescent="0.35">
      <c r="A14">
        <v>2024</v>
      </c>
      <c r="B14">
        <v>102094</v>
      </c>
      <c r="C14" s="32">
        <v>105700</v>
      </c>
      <c r="D14" t="s">
        <v>9</v>
      </c>
      <c r="E14" t="s">
        <v>200</v>
      </c>
      <c r="F14">
        <v>1</v>
      </c>
      <c r="H14">
        <v>1</v>
      </c>
      <c r="I14" t="s">
        <v>192</v>
      </c>
      <c r="J14">
        <v>2909</v>
      </c>
      <c r="K14">
        <v>4881</v>
      </c>
      <c r="L14">
        <v>7790</v>
      </c>
      <c r="M14">
        <v>7</v>
      </c>
      <c r="N14" t="s">
        <v>193</v>
      </c>
      <c r="O14">
        <v>122</v>
      </c>
      <c r="S14">
        <v>122</v>
      </c>
      <c r="T14">
        <v>0</v>
      </c>
      <c r="U14">
        <v>16434</v>
      </c>
      <c r="V14">
        <v>2005002</v>
      </c>
      <c r="W14">
        <v>0</v>
      </c>
      <c r="X14">
        <v>0</v>
      </c>
      <c r="Y14">
        <v>2005002</v>
      </c>
      <c r="AE14">
        <v>13486171</v>
      </c>
      <c r="AG14">
        <v>13486171</v>
      </c>
      <c r="AK14">
        <v>13486171</v>
      </c>
      <c r="AL14">
        <v>0</v>
      </c>
      <c r="AM14">
        <v>13486171</v>
      </c>
      <c r="AN14">
        <v>13932976</v>
      </c>
      <c r="AP14">
        <v>13932976</v>
      </c>
      <c r="AT14">
        <v>13932976</v>
      </c>
      <c r="AU14">
        <v>0</v>
      </c>
      <c r="AV14">
        <v>13932976</v>
      </c>
    </row>
    <row r="15" spans="1:48" x14ac:dyDescent="0.35">
      <c r="A15">
        <v>2024</v>
      </c>
      <c r="B15">
        <v>176372</v>
      </c>
      <c r="C15" s="32">
        <v>244100</v>
      </c>
      <c r="D15" t="s">
        <v>10</v>
      </c>
      <c r="E15" t="s">
        <v>202</v>
      </c>
      <c r="F15">
        <v>1</v>
      </c>
      <c r="H15">
        <v>1</v>
      </c>
      <c r="I15" t="s">
        <v>192</v>
      </c>
      <c r="J15">
        <v>3208</v>
      </c>
      <c r="K15">
        <v>5471</v>
      </c>
      <c r="L15">
        <v>8679</v>
      </c>
      <c r="M15">
        <v>7</v>
      </c>
      <c r="N15" t="s">
        <v>193</v>
      </c>
      <c r="O15">
        <v>113</v>
      </c>
      <c r="S15">
        <v>113</v>
      </c>
      <c r="T15">
        <v>0</v>
      </c>
      <c r="U15">
        <v>17484</v>
      </c>
      <c r="V15">
        <v>1975712</v>
      </c>
      <c r="W15">
        <v>0</v>
      </c>
      <c r="X15">
        <v>0</v>
      </c>
      <c r="Y15">
        <v>1975712</v>
      </c>
      <c r="AE15">
        <v>11033253</v>
      </c>
      <c r="AG15">
        <v>11033253</v>
      </c>
      <c r="AK15">
        <v>11033253</v>
      </c>
      <c r="AL15">
        <v>0</v>
      </c>
      <c r="AM15">
        <v>11033253</v>
      </c>
      <c r="AN15">
        <v>11033253</v>
      </c>
      <c r="AP15">
        <v>11033253</v>
      </c>
      <c r="AT15">
        <v>11033253</v>
      </c>
      <c r="AU15">
        <v>0</v>
      </c>
      <c r="AV15">
        <v>11033253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vt:lpstr>
      <vt:lpstr>analysis</vt:lpstr>
      <vt:lpstr>dashboard</vt:lpstr>
      <vt:lpstr>Methodology &amp; Sources</vt:lpstr>
      <vt:lpstr>Raw Data</vt:lpstr>
      <vt:lpstr>dashboard!Print_Area</vt:lpstr>
      <vt:lpstr>'Methodology &amp; Sources'!Print_Area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Aurelien Schmitt</dc:creator>
  <cp:lastModifiedBy>Aurelien Schmitt</cp:lastModifiedBy>
  <cp:lastPrinted>2026-08-08T12:08:15Z</cp:lastPrinted>
  <dcterms:created xsi:type="dcterms:W3CDTF">2026-08-03T17:50:09Z</dcterms:created>
  <dcterms:modified xsi:type="dcterms:W3CDTF">2026-08-12T11:57:06Z</dcterms:modified>
</cp:coreProperties>
</file>